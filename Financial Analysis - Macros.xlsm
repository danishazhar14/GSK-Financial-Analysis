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10.xml" ContentType="application/vnd.openxmlformats-officedocument.drawing+xml"/>
  <Override PartName="/xl/activeX/activeX6.xml" ContentType="application/vnd.ms-office.activeX+xml"/>
  <Override PartName="/xl/activeX/activeX6.bin" ContentType="application/vnd.ms-office.activeX"/>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901"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NewUser\Desktop\"/>
    </mc:Choice>
  </mc:AlternateContent>
  <xr:revisionPtr revIDLastSave="0" documentId="13_ncr:1_{EFC18B71-E243-4E5E-AECB-DF2BAF3D2628}" xr6:coauthVersionLast="46" xr6:coauthVersionMax="46" xr10:uidLastSave="{00000000-0000-0000-0000-000000000000}"/>
  <bookViews>
    <workbookView xWindow="-108" yWindow="-108" windowWidth="23256" windowHeight="13176" tabRatio="662" xr2:uid="{00000000-000D-0000-FFFF-FFFF00000000}"/>
  </bookViews>
  <sheets>
    <sheet name="Assignment Information" sheetId="13" r:id="rId1"/>
    <sheet name="Historical Income Statements" sheetId="1" r:id="rId2"/>
    <sheet name="Historical Balance Sheets" sheetId="3" r:id="rId3"/>
    <sheet name="Industry Ratios" sheetId="11" r:id="rId4"/>
    <sheet name="Ratio Analysis" sheetId="2" r:id="rId5"/>
    <sheet name="Sales Projections" sheetId="4" r:id="rId6"/>
    <sheet name="Pro Forma Income Statement" sheetId="6" r:id="rId7"/>
    <sheet name="Pro Forma Balance Sheet" sheetId="8" r:id="rId8"/>
    <sheet name="Cash Budget" sheetId="10" r:id="rId9"/>
    <sheet name="Sales &amp; Purchases Schedule" sheetId="12" r:id="rId10"/>
    <sheet name="Market and Stock Data" sheetId="16" r:id="rId11"/>
    <sheet name="WACC" sheetId="15" r:id="rId12"/>
    <sheet name="Variable Growth Rate Model" sheetId="17" r:id="rId13"/>
    <sheet name="Free Cashflow Valuation" sheetId="14" r:id="rId14"/>
    <sheet name="Judgement " sheetId="18" r:id="rId15"/>
  </sheet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5" i="17" l="1"/>
  <c r="C6" i="17"/>
  <c r="C7" i="17"/>
  <c r="C4" i="17"/>
  <c r="C3" i="17"/>
  <c r="M29" i="16"/>
  <c r="B4" i="17"/>
  <c r="D4" i="17" s="1"/>
  <c r="D3" i="17"/>
  <c r="B38" i="8"/>
  <c r="B46" i="8"/>
  <c r="E314" i="16" l="1"/>
  <c r="E3" i="15"/>
  <c r="C38" i="8"/>
  <c r="C46" i="8" s="1"/>
  <c r="B2" i="15"/>
  <c r="B6" i="15" s="1"/>
  <c r="I28" i="4"/>
  <c r="I27" i="4"/>
  <c r="I26" i="4"/>
  <c r="I25" i="4"/>
  <c r="I24" i="4"/>
  <c r="B7" i="15" l="1"/>
  <c r="D38" i="8"/>
  <c r="B3" i="15"/>
  <c r="B4" i="15" s="1"/>
  <c r="G29" i="4"/>
  <c r="I29" i="4"/>
  <c r="H29" i="4"/>
  <c r="D29" i="4"/>
  <c r="H2" i="15" l="1"/>
  <c r="C22" i="14"/>
  <c r="E38" i="8"/>
  <c r="D46" i="8"/>
  <c r="I17" i="14"/>
  <c r="J17" i="14"/>
  <c r="K17" i="14"/>
  <c r="L17" i="14"/>
  <c r="H17" i="14"/>
  <c r="F38" i="8" l="1"/>
  <c r="F46" i="8" s="1"/>
  <c r="E46" i="8"/>
  <c r="F8" i="4"/>
  <c r="F9" i="4" s="1"/>
  <c r="F29" i="4"/>
  <c r="K9" i="4"/>
  <c r="E29" i="4"/>
  <c r="F10" i="4" l="1"/>
  <c r="F11" i="4" s="1"/>
  <c r="F12" i="4" s="1"/>
  <c r="C8" i="14"/>
  <c r="C11" i="14" s="1"/>
  <c r="B8" i="14"/>
  <c r="D8" i="14"/>
  <c r="D11" i="14" s="1"/>
  <c r="F8" i="14"/>
  <c r="F11" i="14" s="1"/>
  <c r="G8" i="14"/>
  <c r="E8" i="14"/>
  <c r="E11" i="14" s="1"/>
  <c r="B8" i="15"/>
  <c r="B9" i="15" s="1"/>
  <c r="E2" i="15"/>
  <c r="C24" i="14" s="1"/>
  <c r="G11" i="14" l="1"/>
  <c r="G9" i="14"/>
  <c r="E4" i="15"/>
  <c r="H4" i="15" s="1"/>
  <c r="H6" i="15" s="1"/>
  <c r="D9" i="14"/>
  <c r="E9" i="14"/>
  <c r="C9" i="14"/>
  <c r="F9" i="14"/>
  <c r="I9" i="14" l="1"/>
  <c r="J9" i="14" s="1"/>
  <c r="K9" i="14" s="1"/>
  <c r="L9" i="14" s="1"/>
  <c r="H9" i="14"/>
  <c r="H8" i="14" s="1"/>
  <c r="H3" i="15"/>
  <c r="H5" i="15"/>
  <c r="I216" i="16"/>
  <c r="C161" i="16"/>
  <c r="E161" i="16"/>
  <c r="C162" i="16"/>
  <c r="E162" i="16"/>
  <c r="C163" i="16"/>
  <c r="E163" i="16"/>
  <c r="C164" i="16"/>
  <c r="E164" i="16"/>
  <c r="C165" i="16"/>
  <c r="E165" i="16"/>
  <c r="C166" i="16"/>
  <c r="E166" i="16"/>
  <c r="C167" i="16"/>
  <c r="E167" i="16"/>
  <c r="C168" i="16"/>
  <c r="E168" i="16"/>
  <c r="C169" i="16"/>
  <c r="E169" i="16"/>
  <c r="C170" i="16"/>
  <c r="E170" i="16"/>
  <c r="C171" i="16"/>
  <c r="E171" i="16"/>
  <c r="C172" i="16"/>
  <c r="E172" i="16"/>
  <c r="C173" i="16"/>
  <c r="E173" i="16"/>
  <c r="C174" i="16"/>
  <c r="E174" i="16"/>
  <c r="C175" i="16"/>
  <c r="E175" i="16"/>
  <c r="C176" i="16"/>
  <c r="E176" i="16"/>
  <c r="C177" i="16"/>
  <c r="E177" i="16"/>
  <c r="C178" i="16"/>
  <c r="E178" i="16"/>
  <c r="C179" i="16"/>
  <c r="E179" i="16"/>
  <c r="C180" i="16"/>
  <c r="E180" i="16"/>
  <c r="C181" i="16"/>
  <c r="E181" i="16"/>
  <c r="C182" i="16"/>
  <c r="E182" i="16"/>
  <c r="C183" i="16"/>
  <c r="E183" i="16"/>
  <c r="C184" i="16"/>
  <c r="E184" i="16"/>
  <c r="C185" i="16"/>
  <c r="E185" i="16"/>
  <c r="C186" i="16"/>
  <c r="E186" i="16"/>
  <c r="C187" i="16"/>
  <c r="E187" i="16"/>
  <c r="C188" i="16"/>
  <c r="E188" i="16"/>
  <c r="C189" i="16"/>
  <c r="E189" i="16"/>
  <c r="C190" i="16"/>
  <c r="E190" i="16"/>
  <c r="C191" i="16"/>
  <c r="E191" i="16"/>
  <c r="C192" i="16"/>
  <c r="E192" i="16"/>
  <c r="C193" i="16"/>
  <c r="E193" i="16"/>
  <c r="C194" i="16"/>
  <c r="E194" i="16"/>
  <c r="C195" i="16"/>
  <c r="E195" i="16"/>
  <c r="C196" i="16"/>
  <c r="E196" i="16"/>
  <c r="C197" i="16"/>
  <c r="E197" i="16"/>
  <c r="C198" i="16"/>
  <c r="E198" i="16"/>
  <c r="C199" i="16"/>
  <c r="E199" i="16"/>
  <c r="C200" i="16"/>
  <c r="E200" i="16"/>
  <c r="C201" i="16"/>
  <c r="E201" i="16"/>
  <c r="C202" i="16"/>
  <c r="E202" i="16"/>
  <c r="C203" i="16"/>
  <c r="E203" i="16"/>
  <c r="C204" i="16"/>
  <c r="E204" i="16"/>
  <c r="C205" i="16"/>
  <c r="E205" i="16"/>
  <c r="C206" i="16"/>
  <c r="E206" i="16"/>
  <c r="C207" i="16"/>
  <c r="E207" i="16"/>
  <c r="C208" i="16"/>
  <c r="E208" i="16"/>
  <c r="C209" i="16"/>
  <c r="E209" i="16"/>
  <c r="C210" i="16"/>
  <c r="E210" i="16"/>
  <c r="C211" i="16"/>
  <c r="E211" i="16"/>
  <c r="C212" i="16"/>
  <c r="E212" i="16"/>
  <c r="C213" i="16"/>
  <c r="E213" i="16"/>
  <c r="C214" i="16"/>
  <c r="E214" i="16"/>
  <c r="C215" i="16"/>
  <c r="E215" i="16"/>
  <c r="C216" i="16"/>
  <c r="E216" i="16"/>
  <c r="C217" i="16"/>
  <c r="E217" i="16"/>
  <c r="C218" i="16"/>
  <c r="E218" i="16"/>
  <c r="C219" i="16"/>
  <c r="E219" i="16"/>
  <c r="C220" i="16"/>
  <c r="E220" i="16"/>
  <c r="C221" i="16"/>
  <c r="E221" i="16"/>
  <c r="C222" i="16"/>
  <c r="E222" i="16"/>
  <c r="C223" i="16"/>
  <c r="E223" i="16"/>
  <c r="C224" i="16"/>
  <c r="E224" i="16"/>
  <c r="C225" i="16"/>
  <c r="E225" i="16"/>
  <c r="C226" i="16"/>
  <c r="E226" i="16"/>
  <c r="C227" i="16"/>
  <c r="E227" i="16"/>
  <c r="C228" i="16"/>
  <c r="E228" i="16"/>
  <c r="C229" i="16"/>
  <c r="E229" i="16"/>
  <c r="C230" i="16"/>
  <c r="E230" i="16"/>
  <c r="C231" i="16"/>
  <c r="E231" i="16"/>
  <c r="C232" i="16"/>
  <c r="E232" i="16"/>
  <c r="C233" i="16"/>
  <c r="E233" i="16"/>
  <c r="C234" i="16"/>
  <c r="E234" i="16"/>
  <c r="C235" i="16"/>
  <c r="E235" i="16"/>
  <c r="C236" i="16"/>
  <c r="E236" i="16"/>
  <c r="C237" i="16"/>
  <c r="E237" i="16"/>
  <c r="C238" i="16"/>
  <c r="E238" i="16"/>
  <c r="C239" i="16"/>
  <c r="E239" i="16"/>
  <c r="C240" i="16"/>
  <c r="E240" i="16"/>
  <c r="C241" i="16"/>
  <c r="E241" i="16"/>
  <c r="C242" i="16"/>
  <c r="E242" i="16"/>
  <c r="C243" i="16"/>
  <c r="E243" i="16"/>
  <c r="C244" i="16"/>
  <c r="E244" i="16"/>
  <c r="C245" i="16"/>
  <c r="E245" i="16"/>
  <c r="C246" i="16"/>
  <c r="E246" i="16"/>
  <c r="C247" i="16"/>
  <c r="E247" i="16"/>
  <c r="C248" i="16"/>
  <c r="E248" i="16"/>
  <c r="C249" i="16"/>
  <c r="E249" i="16"/>
  <c r="C250" i="16"/>
  <c r="E250" i="16"/>
  <c r="C251" i="16"/>
  <c r="E251" i="16"/>
  <c r="C252" i="16"/>
  <c r="E252" i="16"/>
  <c r="C253" i="16"/>
  <c r="E253" i="16"/>
  <c r="C254" i="16"/>
  <c r="E254" i="16"/>
  <c r="C255" i="16"/>
  <c r="E255" i="16"/>
  <c r="C256" i="16"/>
  <c r="E256" i="16"/>
  <c r="C257" i="16"/>
  <c r="E257" i="16"/>
  <c r="C258" i="16"/>
  <c r="E258" i="16"/>
  <c r="C259" i="16"/>
  <c r="E259" i="16"/>
  <c r="C260" i="16"/>
  <c r="E260" i="16"/>
  <c r="C261" i="16"/>
  <c r="E261" i="16"/>
  <c r="C262" i="16"/>
  <c r="E262" i="16"/>
  <c r="C263" i="16"/>
  <c r="E263" i="16"/>
  <c r="C264" i="16"/>
  <c r="E264" i="16"/>
  <c r="C265" i="16"/>
  <c r="E265" i="16"/>
  <c r="C266" i="16"/>
  <c r="E266" i="16"/>
  <c r="C267" i="16"/>
  <c r="E267" i="16"/>
  <c r="C268" i="16"/>
  <c r="E268" i="16"/>
  <c r="C269" i="16"/>
  <c r="E269" i="16"/>
  <c r="C270" i="16"/>
  <c r="E270" i="16"/>
  <c r="C271" i="16"/>
  <c r="E271" i="16"/>
  <c r="C272" i="16"/>
  <c r="E272" i="16"/>
  <c r="C273" i="16"/>
  <c r="E273" i="16"/>
  <c r="C274" i="16"/>
  <c r="E274" i="16"/>
  <c r="C275" i="16"/>
  <c r="E275" i="16"/>
  <c r="C276" i="16"/>
  <c r="E276" i="16"/>
  <c r="C277" i="16"/>
  <c r="E277" i="16"/>
  <c r="C278" i="16"/>
  <c r="E278" i="16"/>
  <c r="C279" i="16"/>
  <c r="E279" i="16"/>
  <c r="C280" i="16"/>
  <c r="E280" i="16"/>
  <c r="C281" i="16"/>
  <c r="E281" i="16"/>
  <c r="C282" i="16"/>
  <c r="E282" i="16"/>
  <c r="C283" i="16"/>
  <c r="E283" i="16"/>
  <c r="C284" i="16"/>
  <c r="E284" i="16"/>
  <c r="C285" i="16"/>
  <c r="E285" i="16"/>
  <c r="C286" i="16"/>
  <c r="E286" i="16"/>
  <c r="C287" i="16"/>
  <c r="E287" i="16"/>
  <c r="C288" i="16"/>
  <c r="E288" i="16"/>
  <c r="C289" i="16"/>
  <c r="E289" i="16"/>
  <c r="C290" i="16"/>
  <c r="E290" i="16"/>
  <c r="C291" i="16"/>
  <c r="E291" i="16"/>
  <c r="C292" i="16"/>
  <c r="E292" i="16"/>
  <c r="C293" i="16"/>
  <c r="E293" i="16"/>
  <c r="C294" i="16"/>
  <c r="E294" i="16"/>
  <c r="C295" i="16"/>
  <c r="E295" i="16"/>
  <c r="C296" i="16"/>
  <c r="E296" i="16"/>
  <c r="C297" i="16"/>
  <c r="E297" i="16"/>
  <c r="C298" i="16"/>
  <c r="E298" i="16"/>
  <c r="C299" i="16"/>
  <c r="E299" i="16"/>
  <c r="C300" i="16"/>
  <c r="E300" i="16"/>
  <c r="C301" i="16"/>
  <c r="E301" i="16"/>
  <c r="C302" i="16"/>
  <c r="E302" i="16"/>
  <c r="C303" i="16"/>
  <c r="E303" i="16"/>
  <c r="C304" i="16"/>
  <c r="E304" i="16"/>
  <c r="C305" i="16"/>
  <c r="E305" i="16"/>
  <c r="C306" i="16"/>
  <c r="E306" i="16"/>
  <c r="C307" i="16"/>
  <c r="E307" i="16"/>
  <c r="C308" i="16"/>
  <c r="E308" i="16"/>
  <c r="C309" i="16"/>
  <c r="E309" i="16"/>
  <c r="C310" i="16"/>
  <c r="E310" i="16"/>
  <c r="C311" i="16"/>
  <c r="E311" i="16"/>
  <c r="C312" i="16"/>
  <c r="E312" i="16"/>
  <c r="C313" i="16"/>
  <c r="E313" i="16"/>
  <c r="C314" i="16"/>
  <c r="C160" i="16"/>
  <c r="E160" i="16"/>
  <c r="E4" i="16" l="1"/>
  <c r="E5" i="16"/>
  <c r="E6" i="16"/>
  <c r="E7" i="16"/>
  <c r="E8" i="16"/>
  <c r="E9" i="16"/>
  <c r="E10" i="16"/>
  <c r="E11" i="16"/>
  <c r="E12" i="16"/>
  <c r="E13" i="16"/>
  <c r="E14" i="16"/>
  <c r="E15" i="16"/>
  <c r="E16" i="16"/>
  <c r="E17" i="16"/>
  <c r="E18" i="16"/>
  <c r="E19" i="16"/>
  <c r="E20" i="16"/>
  <c r="E21" i="16"/>
  <c r="E22" i="16"/>
  <c r="E23" i="16"/>
  <c r="E24" i="16"/>
  <c r="E25" i="16"/>
  <c r="E26" i="16"/>
  <c r="E27" i="16"/>
  <c r="E28" i="16"/>
  <c r="E29" i="16"/>
  <c r="E30" i="16"/>
  <c r="E31" i="16"/>
  <c r="E32" i="16"/>
  <c r="E33" i="16"/>
  <c r="E34" i="16"/>
  <c r="E35" i="16"/>
  <c r="E36" i="16"/>
  <c r="E37" i="16"/>
  <c r="E38" i="16"/>
  <c r="E39" i="16"/>
  <c r="E40" i="16"/>
  <c r="E41" i="16"/>
  <c r="E42" i="16"/>
  <c r="E43" i="16"/>
  <c r="E44" i="16"/>
  <c r="E45" i="16"/>
  <c r="E46" i="16"/>
  <c r="E47" i="16"/>
  <c r="E48" i="16"/>
  <c r="E49" i="16"/>
  <c r="E50" i="16"/>
  <c r="E51" i="16"/>
  <c r="E52" i="16"/>
  <c r="E53" i="16"/>
  <c r="E54" i="16"/>
  <c r="E55" i="16"/>
  <c r="E56" i="16"/>
  <c r="E57" i="16"/>
  <c r="E58" i="16"/>
  <c r="E59" i="16"/>
  <c r="E60" i="16"/>
  <c r="E61" i="16"/>
  <c r="E62" i="16"/>
  <c r="E63" i="16"/>
  <c r="E64" i="16"/>
  <c r="E65" i="16"/>
  <c r="E66" i="16"/>
  <c r="E67" i="16"/>
  <c r="E68" i="16"/>
  <c r="E69" i="16"/>
  <c r="E70" i="16"/>
  <c r="E71" i="16"/>
  <c r="E72" i="16"/>
  <c r="E73" i="16"/>
  <c r="E74" i="16"/>
  <c r="E75" i="16"/>
  <c r="E76" i="16"/>
  <c r="E77" i="16"/>
  <c r="E78" i="16"/>
  <c r="E79" i="16"/>
  <c r="E80" i="16"/>
  <c r="E81" i="16"/>
  <c r="E82" i="16"/>
  <c r="E83" i="16"/>
  <c r="E84" i="16"/>
  <c r="E85" i="16"/>
  <c r="E86" i="16"/>
  <c r="E87" i="16"/>
  <c r="E88" i="16"/>
  <c r="E89" i="16"/>
  <c r="E90" i="16"/>
  <c r="E91" i="16"/>
  <c r="E92" i="16"/>
  <c r="E93" i="16"/>
  <c r="E94" i="16"/>
  <c r="E95" i="16"/>
  <c r="E96" i="16"/>
  <c r="E97" i="16"/>
  <c r="E98" i="16"/>
  <c r="E99" i="16"/>
  <c r="E100" i="16"/>
  <c r="E101" i="16"/>
  <c r="E102" i="16"/>
  <c r="E103" i="16"/>
  <c r="E104" i="16"/>
  <c r="E105" i="16"/>
  <c r="E106" i="16"/>
  <c r="E107" i="16"/>
  <c r="E108" i="16"/>
  <c r="E109" i="16"/>
  <c r="E110" i="16"/>
  <c r="E111" i="16"/>
  <c r="E112" i="16"/>
  <c r="E113" i="16"/>
  <c r="E114" i="16"/>
  <c r="E115" i="16"/>
  <c r="E116" i="16"/>
  <c r="E117" i="16"/>
  <c r="E118" i="16"/>
  <c r="E119" i="16"/>
  <c r="E120" i="16"/>
  <c r="E121" i="16"/>
  <c r="E122" i="16"/>
  <c r="E123" i="16"/>
  <c r="E124" i="16"/>
  <c r="E125" i="16"/>
  <c r="E126" i="16"/>
  <c r="E127" i="16"/>
  <c r="E128" i="16"/>
  <c r="E129" i="16"/>
  <c r="E130" i="16"/>
  <c r="E131" i="16"/>
  <c r="E132" i="16"/>
  <c r="E133" i="16"/>
  <c r="E134" i="16"/>
  <c r="E135" i="16"/>
  <c r="E136" i="16"/>
  <c r="E137" i="16"/>
  <c r="E138" i="16"/>
  <c r="E139" i="16"/>
  <c r="E140" i="16"/>
  <c r="E141" i="16"/>
  <c r="E142" i="16"/>
  <c r="E143" i="16"/>
  <c r="E144" i="16"/>
  <c r="E145" i="16"/>
  <c r="E146" i="16"/>
  <c r="E147" i="16"/>
  <c r="E148" i="16"/>
  <c r="E149" i="16"/>
  <c r="E150" i="16"/>
  <c r="E151" i="16"/>
  <c r="E152" i="16"/>
  <c r="E153" i="16"/>
  <c r="E154" i="16"/>
  <c r="E155" i="16"/>
  <c r="E156" i="16"/>
  <c r="E157" i="16"/>
  <c r="E158" i="16"/>
  <c r="E159" i="16"/>
  <c r="E3" i="16"/>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E316" i="16" l="1"/>
  <c r="C316" i="16"/>
  <c r="M24" i="16" s="1"/>
  <c r="B23" i="10"/>
  <c r="I5" i="12"/>
  <c r="H5" i="12"/>
  <c r="K5" i="12" a="1"/>
  <c r="K5" i="12" s="1"/>
  <c r="B7" i="10"/>
  <c r="C8" i="12"/>
  <c r="C3" i="12" s="1"/>
  <c r="D3" i="12" s="1" a="1"/>
  <c r="D3" i="12" s="1"/>
  <c r="D8" i="12" s="1"/>
  <c r="B8" i="12"/>
  <c r="D4" i="12" a="1"/>
  <c r="D4" i="12" s="1"/>
  <c r="D15" i="11"/>
  <c r="B15" i="11"/>
  <c r="B15" i="2"/>
  <c r="B25" i="2"/>
  <c r="B24" i="2"/>
  <c r="B18" i="2"/>
  <c r="B19" i="2"/>
  <c r="B17" i="2"/>
  <c r="B10" i="2"/>
  <c r="B11" i="2"/>
  <c r="B8" i="2"/>
  <c r="B6" i="2"/>
  <c r="B25" i="11"/>
  <c r="B24" i="11"/>
  <c r="B18" i="11"/>
  <c r="B19" i="11"/>
  <c r="B20" i="11"/>
  <c r="B20" i="2" s="1"/>
  <c r="B21" i="11"/>
  <c r="B21" i="2" s="1"/>
  <c r="B22" i="11"/>
  <c r="B22" i="2" s="1"/>
  <c r="B17" i="11"/>
  <c r="B14" i="11"/>
  <c r="B14" i="2" s="1"/>
  <c r="B6" i="11"/>
  <c r="B5" i="11"/>
  <c r="B5" i="2" s="1"/>
  <c r="B9" i="11"/>
  <c r="B9" i="2" s="1"/>
  <c r="B10" i="11"/>
  <c r="B11" i="11"/>
  <c r="B8" i="11"/>
  <c r="C25" i="11"/>
  <c r="D6" i="12" a="1"/>
  <c r="D6" i="12" s="1"/>
  <c r="D5" i="12" a="1"/>
  <c r="D5" i="12" s="1"/>
  <c r="D7" i="12" a="1"/>
  <c r="D7" i="12" s="1"/>
  <c r="D45" i="8"/>
  <c r="C45" i="8"/>
  <c r="C16" i="8"/>
  <c r="D16" i="8"/>
  <c r="E16" i="8"/>
  <c r="F16" i="8"/>
  <c r="K10" i="4"/>
  <c r="N3" i="4" s="1"/>
  <c r="B53" i="1"/>
  <c r="C53" i="1"/>
  <c r="C49" i="1"/>
  <c r="B15" i="6" s="1"/>
  <c r="B49" i="1"/>
  <c r="D45" i="1"/>
  <c r="D38" i="1"/>
  <c r="B43" i="1"/>
  <c r="B42" i="1"/>
  <c r="B36" i="1"/>
  <c r="B35" i="1" s="1"/>
  <c r="D43" i="1"/>
  <c r="B44" i="1"/>
  <c r="C42" i="1" s="1"/>
  <c r="C43" i="1"/>
  <c r="D42" i="1"/>
  <c r="C7" i="4"/>
  <c r="C28" i="4" s="1"/>
  <c r="C29" i="4" s="1"/>
  <c r="C6" i="4"/>
  <c r="C5" i="4"/>
  <c r="C26" i="4" s="1"/>
  <c r="C4" i="4"/>
  <c r="C3" i="4"/>
  <c r="C24" i="4" s="1"/>
  <c r="D9" i="2"/>
  <c r="E9" i="2"/>
  <c r="F9" i="2"/>
  <c r="G9" i="2"/>
  <c r="C9" i="2"/>
  <c r="G10" i="2"/>
  <c r="E10" i="2"/>
  <c r="D10" i="2"/>
  <c r="E61" i="3"/>
  <c r="F10" i="2" s="1"/>
  <c r="F61" i="3"/>
  <c r="C10" i="2"/>
  <c r="B61" i="3"/>
  <c r="H4" i="12" s="1"/>
  <c r="D61" i="3"/>
  <c r="C61" i="3"/>
  <c r="I4" i="12" s="1"/>
  <c r="I3" i="12" s="1"/>
  <c r="D48" i="3"/>
  <c r="D50" i="3" s="1"/>
  <c r="D52" i="3" s="1"/>
  <c r="D25" i="2"/>
  <c r="E25" i="2"/>
  <c r="F25" i="2"/>
  <c r="G25" i="2"/>
  <c r="C25" i="2"/>
  <c r="D8" i="2"/>
  <c r="E8" i="2"/>
  <c r="F8" i="2"/>
  <c r="G8" i="2"/>
  <c r="C8" i="2"/>
  <c r="C6" i="1"/>
  <c r="D17" i="2"/>
  <c r="D6" i="1"/>
  <c r="E17" i="2"/>
  <c r="E6" i="1"/>
  <c r="F17" i="2" s="1"/>
  <c r="F6" i="1"/>
  <c r="F11" i="1" s="1"/>
  <c r="B6" i="1"/>
  <c r="B11" i="1" s="1"/>
  <c r="C17" i="2"/>
  <c r="C48" i="3"/>
  <c r="E48" i="3"/>
  <c r="F5" i="2" s="1"/>
  <c r="F48" i="3"/>
  <c r="F50" i="3" s="1"/>
  <c r="F52" i="3" s="1"/>
  <c r="C39" i="3"/>
  <c r="D39" i="3"/>
  <c r="E39" i="3"/>
  <c r="F39" i="3"/>
  <c r="C32" i="3"/>
  <c r="D32" i="3"/>
  <c r="E32" i="3"/>
  <c r="F32" i="3"/>
  <c r="C10" i="3"/>
  <c r="D10" i="3"/>
  <c r="E10" i="3"/>
  <c r="E26" i="3" s="1"/>
  <c r="F10" i="3"/>
  <c r="C24" i="3"/>
  <c r="C26" i="3" s="1"/>
  <c r="D24" i="3"/>
  <c r="E12" i="14" s="1"/>
  <c r="E24" i="3"/>
  <c r="F24" i="3"/>
  <c r="G6" i="2" s="1"/>
  <c r="B48" i="3"/>
  <c r="B39" i="3"/>
  <c r="B32" i="3"/>
  <c r="B24" i="3"/>
  <c r="B26" i="3" s="1"/>
  <c r="B10" i="3"/>
  <c r="C50" i="3"/>
  <c r="C11" i="1"/>
  <c r="F5" i="14" s="1"/>
  <c r="F7" i="14" s="1"/>
  <c r="F10" i="14" s="1"/>
  <c r="D11" i="1"/>
  <c r="E5" i="14" s="1"/>
  <c r="E7" i="14" s="1"/>
  <c r="E10" i="14" s="1"/>
  <c r="E13" i="14" s="1"/>
  <c r="D5" i="2"/>
  <c r="D6" i="2"/>
  <c r="E6" i="2"/>
  <c r="B50" i="3"/>
  <c r="B52" i="3"/>
  <c r="F6" i="2"/>
  <c r="D18" i="2"/>
  <c r="D15" i="2"/>
  <c r="C52" i="3"/>
  <c r="D14" i="2"/>
  <c r="B3" i="12"/>
  <c r="C15" i="2" l="1"/>
  <c r="G5" i="14"/>
  <c r="G7" i="14" s="1"/>
  <c r="G10" i="14" s="1"/>
  <c r="C14" i="2"/>
  <c r="B13" i="1"/>
  <c r="B15" i="1" s="1"/>
  <c r="C18" i="2"/>
  <c r="C5" i="14"/>
  <c r="C7" i="14" s="1"/>
  <c r="C10" i="14" s="1"/>
  <c r="G15" i="2"/>
  <c r="F13" i="1"/>
  <c r="F15" i="1" s="1"/>
  <c r="G18" i="2"/>
  <c r="G14" i="2"/>
  <c r="B7" i="6"/>
  <c r="C35" i="1"/>
  <c r="B37" i="1"/>
  <c r="D35" i="1"/>
  <c r="D37" i="1" s="1"/>
  <c r="D11" i="2"/>
  <c r="D13" i="2"/>
  <c r="D13" i="11"/>
  <c r="B13" i="11" s="1"/>
  <c r="B13" i="2" s="1"/>
  <c r="C13" i="2"/>
  <c r="C11" i="2"/>
  <c r="B14" i="10"/>
  <c r="K4" i="12" a="1"/>
  <c r="K4" i="12" s="1"/>
  <c r="J4" i="12" a="1"/>
  <c r="J4" i="12" s="1"/>
  <c r="H3" i="12"/>
  <c r="F13" i="2"/>
  <c r="F11" i="2"/>
  <c r="E18" i="2"/>
  <c r="G17" i="2"/>
  <c r="D12" i="14"/>
  <c r="D44" i="1"/>
  <c r="B16" i="6"/>
  <c r="C16" i="6" s="1"/>
  <c r="D16" i="6" s="1"/>
  <c r="E16" i="6" s="1"/>
  <c r="F16" i="6" s="1"/>
  <c r="E50" i="3"/>
  <c r="E52" i="3" s="1"/>
  <c r="C36" i="1"/>
  <c r="C6" i="2"/>
  <c r="F12" i="14"/>
  <c r="F13" i="14" s="1"/>
  <c r="D14" i="6"/>
  <c r="E14" i="6"/>
  <c r="F14" i="6"/>
  <c r="B14" i="6"/>
  <c r="C14" i="6"/>
  <c r="D26" i="3"/>
  <c r="C13" i="1"/>
  <c r="C15" i="1" s="1"/>
  <c r="E5" i="2"/>
  <c r="F26" i="3"/>
  <c r="D36" i="1"/>
  <c r="D13" i="1"/>
  <c r="D15" i="1" s="1"/>
  <c r="E15" i="2"/>
  <c r="C12" i="14"/>
  <c r="G12" i="14"/>
  <c r="C5" i="2"/>
  <c r="E14" i="2"/>
  <c r="G5" i="2"/>
  <c r="E11" i="1"/>
  <c r="F31" i="4"/>
  <c r="B12" i="6"/>
  <c r="M27" i="16"/>
  <c r="M25" i="16"/>
  <c r="N8" i="4"/>
  <c r="N4" i="4"/>
  <c r="D3" i="4"/>
  <c r="D4" i="4"/>
  <c r="C25" i="4"/>
  <c r="I31" i="4" s="1"/>
  <c r="N7" i="4"/>
  <c r="D7" i="4"/>
  <c r="C27" i="4"/>
  <c r="H31" i="4" s="1"/>
  <c r="C7" i="6"/>
  <c r="C12" i="6"/>
  <c r="C15" i="6"/>
  <c r="C18" i="10" s="1"/>
  <c r="B18" i="10"/>
  <c r="N9" i="4"/>
  <c r="N5" i="4"/>
  <c r="D5" i="4"/>
  <c r="N6" i="4"/>
  <c r="D6" i="4"/>
  <c r="M26" i="16"/>
  <c r="M30" i="16" s="1"/>
  <c r="M31" i="16" s="1"/>
  <c r="E5" i="15" s="1"/>
  <c r="E3" i="17" s="1"/>
  <c r="F3" i="17" s="1"/>
  <c r="G31" i="4" l="1"/>
  <c r="K3" i="12" a="1"/>
  <c r="K3" i="12" s="1"/>
  <c r="J3" i="12" a="1"/>
  <c r="J3" i="12" s="1"/>
  <c r="J5" i="12" s="1"/>
  <c r="E20" i="2"/>
  <c r="E24" i="2" s="1"/>
  <c r="E22" i="2"/>
  <c r="E21" i="2"/>
  <c r="E19" i="2"/>
  <c r="D31" i="4"/>
  <c r="G13" i="2"/>
  <c r="G11" i="2"/>
  <c r="G20" i="2"/>
  <c r="G24" i="2" s="1"/>
  <c r="G22" i="2"/>
  <c r="G21" i="2"/>
  <c r="G19" i="2"/>
  <c r="E13" i="4"/>
  <c r="D5" i="14"/>
  <c r="D7" i="14" s="1"/>
  <c r="D10" i="14" s="1"/>
  <c r="D13" i="14" s="1"/>
  <c r="F14" i="2"/>
  <c r="F18" i="2"/>
  <c r="E13" i="1"/>
  <c r="E15" i="1" s="1"/>
  <c r="F15" i="2"/>
  <c r="D21" i="2"/>
  <c r="D19" i="2"/>
  <c r="D22" i="2"/>
  <c r="D20" i="2"/>
  <c r="D24" i="2" s="1"/>
  <c r="C13" i="14"/>
  <c r="E31" i="4"/>
  <c r="C9" i="6"/>
  <c r="E9" i="6"/>
  <c r="F9" i="6"/>
  <c r="D9" i="6"/>
  <c r="B9" i="6"/>
  <c r="E11" i="2"/>
  <c r="E13" i="2"/>
  <c r="C22" i="2"/>
  <c r="C19" i="2"/>
  <c r="C20" i="2"/>
  <c r="C24" i="2" s="1"/>
  <c r="C21" i="2"/>
  <c r="G13" i="14"/>
  <c r="H7" i="15"/>
  <c r="C18" i="14" s="1"/>
  <c r="E7" i="17"/>
  <c r="E12" i="17"/>
  <c r="E5" i="17"/>
  <c r="E4" i="17"/>
  <c r="E6" i="17"/>
  <c r="G13" i="4"/>
  <c r="F13" i="4"/>
  <c r="P10" i="4"/>
  <c r="O10" i="4"/>
  <c r="Q10" i="4"/>
  <c r="R10" i="4"/>
  <c r="S10" i="4"/>
  <c r="D12" i="6"/>
  <c r="D15" i="6"/>
  <c r="D18" i="10" s="1"/>
  <c r="D7" i="6"/>
  <c r="F21" i="2" l="1"/>
  <c r="F19" i="2"/>
  <c r="F20" i="2"/>
  <c r="F24" i="2" s="1"/>
  <c r="F22" i="2"/>
  <c r="J31" i="4"/>
  <c r="E32" i="4" s="1"/>
  <c r="D32" i="4"/>
  <c r="B17" i="6"/>
  <c r="M31" i="4"/>
  <c r="B9" i="10"/>
  <c r="H13" i="4"/>
  <c r="G15" i="4" s="1"/>
  <c r="E12" i="6"/>
  <c r="E15" i="6"/>
  <c r="E18" i="10" s="1"/>
  <c r="E7" i="6"/>
  <c r="I8" i="14"/>
  <c r="G32" i="4" l="1"/>
  <c r="I32" i="4"/>
  <c r="H32" i="4"/>
  <c r="F32" i="4"/>
  <c r="M30" i="4" s="1"/>
  <c r="M32" i="4" s="1"/>
  <c r="C17" i="6"/>
  <c r="C9" i="10" s="1"/>
  <c r="F15" i="4"/>
  <c r="E15" i="4"/>
  <c r="D8" i="4" s="1"/>
  <c r="F15" i="6"/>
  <c r="F18" i="10" s="1"/>
  <c r="F7" i="6"/>
  <c r="F12" i="6"/>
  <c r="J8" i="14"/>
  <c r="D12" i="17" l="1"/>
  <c r="C17" i="14"/>
  <c r="B12" i="17"/>
  <c r="J32" i="4"/>
  <c r="D10" i="4"/>
  <c r="D12" i="4"/>
  <c r="F5" i="6" s="1"/>
  <c r="C8" i="4"/>
  <c r="D9" i="4"/>
  <c r="D11" i="4"/>
  <c r="D17" i="6"/>
  <c r="E17" i="6" s="1"/>
  <c r="K8" i="14"/>
  <c r="D5" i="6" l="1"/>
  <c r="C5" i="6"/>
  <c r="E5" i="6"/>
  <c r="D9" i="10"/>
  <c r="B5" i="6"/>
  <c r="F17" i="6"/>
  <c r="F9" i="10" s="1"/>
  <c r="E9" i="10"/>
  <c r="L8" i="14"/>
  <c r="F4" i="17" l="1"/>
  <c r="B5" i="17"/>
  <c r="B4" i="6"/>
  <c r="C9" i="4"/>
  <c r="D5" i="17" l="1"/>
  <c r="B6" i="17" s="1"/>
  <c r="D6" i="17" s="1"/>
  <c r="B15" i="8" a="1"/>
  <c r="B15" i="8" s="1"/>
  <c r="B44" i="8" a="1"/>
  <c r="B44" i="8" s="1"/>
  <c r="B21" i="8" a="1"/>
  <c r="B21" i="8" s="1"/>
  <c r="B16" i="8" a="1"/>
  <c r="B16" i="8" s="1"/>
  <c r="B45" i="8" a="1"/>
  <c r="B45" i="8" s="1"/>
  <c r="B9" i="8" a="1"/>
  <c r="B9" i="8" s="1"/>
  <c r="B43" i="8"/>
  <c r="B8" i="6"/>
  <c r="B16" i="10" s="1"/>
  <c r="B17" i="8" a="1"/>
  <c r="B17" i="8" s="1"/>
  <c r="B7" i="8" a="1"/>
  <c r="B7" i="8" s="1"/>
  <c r="B18" i="8" a="1"/>
  <c r="B18" i="8" s="1"/>
  <c r="C18" i="8" s="1"/>
  <c r="D18" i="8" s="1"/>
  <c r="B6" i="8" a="1"/>
  <c r="B6" i="8" s="1"/>
  <c r="B8" i="8" a="1"/>
  <c r="B8" i="8" s="1"/>
  <c r="B42" i="8" a="1"/>
  <c r="B42" i="8" s="1"/>
  <c r="B19" i="8" a="1"/>
  <c r="B19" i="8" s="1"/>
  <c r="B23" i="8" a="1"/>
  <c r="B23" i="8" s="1"/>
  <c r="B24" i="10" s="1"/>
  <c r="B14" i="8" a="1"/>
  <c r="B14" i="8" s="1"/>
  <c r="B13" i="6"/>
  <c r="B36" i="8" s="1" a="1"/>
  <c r="B36" i="8" s="1"/>
  <c r="B20" i="8" a="1"/>
  <c r="B20" i="8" s="1"/>
  <c r="B22" i="8" a="1"/>
  <c r="B22" i="8" s="1"/>
  <c r="B13" i="8" a="1"/>
  <c r="B13" i="8" s="1"/>
  <c r="C7" i="10"/>
  <c r="B12" i="10"/>
  <c r="B5" i="10"/>
  <c r="C14" i="10"/>
  <c r="B8" i="10"/>
  <c r="B15" i="10"/>
  <c r="C10" i="4"/>
  <c r="C4" i="6"/>
  <c r="F5" i="17" l="1"/>
  <c r="B7" i="17"/>
  <c r="D7" i="17" s="1"/>
  <c r="C23" i="8" a="1"/>
  <c r="C23" i="8" s="1"/>
  <c r="C24" i="10" s="1"/>
  <c r="C43" i="8"/>
  <c r="B10" i="6"/>
  <c r="B18" i="6" s="1"/>
  <c r="B19" i="6" s="1" a="1"/>
  <c r="B19" i="6" s="1"/>
  <c r="B24" i="8"/>
  <c r="E18" i="8"/>
  <c r="F18" i="8" s="1"/>
  <c r="B10" i="10"/>
  <c r="B10" i="8"/>
  <c r="H11" i="14"/>
  <c r="C11" i="4"/>
  <c r="D4" i="6"/>
  <c r="D23" i="8" s="1" a="1"/>
  <c r="D23" i="8" s="1"/>
  <c r="B27" i="10"/>
  <c r="C23" i="10"/>
  <c r="B22" i="10"/>
  <c r="B26" i="10"/>
  <c r="B17" i="10"/>
  <c r="C22" i="8" a="1"/>
  <c r="C22" i="8" s="1"/>
  <c r="C8" i="8" a="1"/>
  <c r="C8" i="8" s="1"/>
  <c r="C21" i="8" a="1"/>
  <c r="C21" i="8" s="1"/>
  <c r="C42" i="8" a="1"/>
  <c r="C42" i="8" s="1"/>
  <c r="C15" i="8" a="1"/>
  <c r="C15" i="8" s="1"/>
  <c r="C19" i="8" a="1"/>
  <c r="C19" i="8" s="1"/>
  <c r="C15" i="10"/>
  <c r="C17" i="8" a="1"/>
  <c r="C17" i="8" s="1"/>
  <c r="D7" i="10"/>
  <c r="C6" i="8" a="1"/>
  <c r="C6" i="8" s="1"/>
  <c r="C44" i="8" a="1"/>
  <c r="C44" i="8" s="1"/>
  <c r="C14" i="8" a="1"/>
  <c r="C14" i="8" s="1"/>
  <c r="C5" i="10"/>
  <c r="C8" i="10"/>
  <c r="C9" i="8" a="1"/>
  <c r="C9" i="8" s="1"/>
  <c r="C13" i="8" a="1"/>
  <c r="C13" i="8" s="1"/>
  <c r="C7" i="8" a="1"/>
  <c r="C7" i="8" s="1"/>
  <c r="C20" i="8" a="1"/>
  <c r="C20" i="8" s="1"/>
  <c r="C12" i="10"/>
  <c r="D14" i="10"/>
  <c r="F6" i="17" l="1"/>
  <c r="H12" i="14"/>
  <c r="B26" i="8"/>
  <c r="B31" i="8" s="1" a="1"/>
  <c r="B31" i="8" s="1"/>
  <c r="B32" i="8" s="1"/>
  <c r="B21" i="10"/>
  <c r="C10" i="10"/>
  <c r="D6" i="8" a="1"/>
  <c r="D6" i="8" s="1"/>
  <c r="D42" i="8" a="1"/>
  <c r="D42" i="8" s="1"/>
  <c r="D20" i="8" a="1"/>
  <c r="D20" i="8" s="1"/>
  <c r="D22" i="8" a="1"/>
  <c r="D22" i="8" s="1"/>
  <c r="D19" i="8" a="1"/>
  <c r="D19" i="8" s="1"/>
  <c r="E14" i="10"/>
  <c r="E7" i="10"/>
  <c r="D43" i="8"/>
  <c r="D8" i="8" a="1"/>
  <c r="D8" i="8" s="1"/>
  <c r="D15" i="8" a="1"/>
  <c r="D15" i="8" s="1"/>
  <c r="D14" i="8" a="1"/>
  <c r="D14" i="8" s="1"/>
  <c r="D12" i="10"/>
  <c r="D8" i="10"/>
  <c r="D7" i="8" a="1"/>
  <c r="D7" i="8" s="1"/>
  <c r="D15" i="10"/>
  <c r="D13" i="8" a="1"/>
  <c r="D13" i="8" s="1"/>
  <c r="D24" i="10"/>
  <c r="D5" i="10"/>
  <c r="D44" i="8" a="1"/>
  <c r="D44" i="8" s="1"/>
  <c r="D21" i="8" a="1"/>
  <c r="D21" i="8" s="1"/>
  <c r="D17" i="8" a="1"/>
  <c r="D17" i="8" s="1"/>
  <c r="D9" i="8" a="1"/>
  <c r="D9" i="8" s="1"/>
  <c r="C12" i="4"/>
  <c r="F4" i="6" s="1"/>
  <c r="E4" i="6"/>
  <c r="E6" i="8" s="1" a="1"/>
  <c r="E6" i="8" s="1"/>
  <c r="I11" i="14"/>
  <c r="C10" i="8"/>
  <c r="C24" i="8"/>
  <c r="I12" i="14" s="1"/>
  <c r="C22" i="10"/>
  <c r="D23" i="10"/>
  <c r="C26" i="10"/>
  <c r="C27" i="10"/>
  <c r="L5" i="14"/>
  <c r="L7" i="14" s="1"/>
  <c r="L10" i="14" s="1"/>
  <c r="B20" i="6"/>
  <c r="B21" i="6" l="1"/>
  <c r="B22" i="6" s="1"/>
  <c r="B47" i="8" s="1" a="1"/>
  <c r="B47" i="8" s="1"/>
  <c r="B37" i="8" a="1"/>
  <c r="B37" i="8" s="1"/>
  <c r="B39" i="8" s="1"/>
  <c r="F23" i="8" a="1"/>
  <c r="F23" i="8" s="1"/>
  <c r="F24" i="10" s="1"/>
  <c r="F6" i="8" a="1"/>
  <c r="F6" i="8" s="1"/>
  <c r="E23" i="8" a="1"/>
  <c r="E23" i="8" s="1"/>
  <c r="E24" i="10" s="1"/>
  <c r="C26" i="8"/>
  <c r="C31" i="8" s="1" a="1"/>
  <c r="C31" i="8" s="1"/>
  <c r="C32" i="8" s="1"/>
  <c r="D10" i="10"/>
  <c r="D24" i="8"/>
  <c r="J12" i="14" s="1"/>
  <c r="C21" i="10"/>
  <c r="D22" i="10"/>
  <c r="D26" i="10"/>
  <c r="E23" i="10"/>
  <c r="D27" i="10"/>
  <c r="E5" i="10"/>
  <c r="E22" i="8" a="1"/>
  <c r="E22" i="8" s="1"/>
  <c r="E8" i="10"/>
  <c r="E20" i="8" a="1"/>
  <c r="E20" i="8" s="1"/>
  <c r="E14" i="8" a="1"/>
  <c r="E14" i="8" s="1"/>
  <c r="E42" i="8" a="1"/>
  <c r="E42" i="8" s="1"/>
  <c r="E7" i="8" a="1"/>
  <c r="E7" i="8" s="1"/>
  <c r="E12" i="10"/>
  <c r="E9" i="8" a="1"/>
  <c r="E9" i="8" s="1"/>
  <c r="E44" i="8" a="1"/>
  <c r="E44" i="8" s="1"/>
  <c r="E21" i="8" a="1"/>
  <c r="E21" i="8" s="1"/>
  <c r="E17" i="8" a="1"/>
  <c r="E17" i="8" s="1"/>
  <c r="E15" i="8" a="1"/>
  <c r="E15" i="8" s="1"/>
  <c r="E15" i="10"/>
  <c r="F14" i="10"/>
  <c r="E13" i="8" a="1"/>
  <c r="E13" i="8" s="1"/>
  <c r="E8" i="8" a="1"/>
  <c r="E8" i="8" s="1"/>
  <c r="F7" i="10"/>
  <c r="E19" i="8" a="1"/>
  <c r="E19" i="8" s="1"/>
  <c r="F21" i="8" a="1"/>
  <c r="F21" i="8" s="1"/>
  <c r="F44" i="8" a="1"/>
  <c r="F44" i="8" s="1"/>
  <c r="F19" i="8" a="1"/>
  <c r="F19" i="8" s="1"/>
  <c r="F12" i="10"/>
  <c r="F8" i="10"/>
  <c r="F5" i="10"/>
  <c r="F15" i="10"/>
  <c r="F42" i="8" a="1"/>
  <c r="F42" i="8" s="1"/>
  <c r="F14" i="8" a="1"/>
  <c r="F14" i="8" s="1"/>
  <c r="F22" i="8" a="1"/>
  <c r="F22" i="8" s="1"/>
  <c r="F9" i="8" a="1"/>
  <c r="F9" i="8" s="1"/>
  <c r="F8" i="8" a="1"/>
  <c r="F8" i="8" s="1"/>
  <c r="F17" i="8" a="1"/>
  <c r="F17" i="8" s="1"/>
  <c r="F13" i="8" a="1"/>
  <c r="F13" i="8" s="1"/>
  <c r="F15" i="8" a="1"/>
  <c r="F15" i="8" s="1"/>
  <c r="F20" i="8" a="1"/>
  <c r="F20" i="8" s="1"/>
  <c r="F7" i="8" a="1"/>
  <c r="F7" i="8" s="1"/>
  <c r="J11" i="14"/>
  <c r="D10" i="8"/>
  <c r="F7" i="17" l="1"/>
  <c r="F8" i="17" s="1"/>
  <c r="A12" i="17"/>
  <c r="C12" i="17" s="1"/>
  <c r="F12" i="17" s="1"/>
  <c r="B48" i="8"/>
  <c r="D26" i="8"/>
  <c r="D31" i="8" s="1" a="1"/>
  <c r="D31" i="8" s="1"/>
  <c r="D32" i="8" s="1"/>
  <c r="D21" i="10"/>
  <c r="E10" i="10"/>
  <c r="E22" i="10"/>
  <c r="E26" i="10"/>
  <c r="E27" i="10"/>
  <c r="F23" i="10"/>
  <c r="F22" i="10" s="1"/>
  <c r="B19" i="10" a="1"/>
  <c r="B19" i="10" s="1"/>
  <c r="B20" i="10" s="1"/>
  <c r="K11" i="14"/>
  <c r="E10" i="8"/>
  <c r="F26" i="10"/>
  <c r="F27" i="10"/>
  <c r="E24" i="8"/>
  <c r="F10" i="10"/>
  <c r="F10" i="8"/>
  <c r="L11" i="14"/>
  <c r="F24" i="8"/>
  <c r="C15" i="17" l="1"/>
  <c r="E21" i="10"/>
  <c r="E26" i="8"/>
  <c r="E31" i="8" s="1" a="1"/>
  <c r="E31" i="8" s="1"/>
  <c r="E32" i="8" s="1"/>
  <c r="K12" i="14"/>
  <c r="B49" i="8"/>
  <c r="B51" i="8" s="1"/>
  <c r="B53" i="8" s="1"/>
  <c r="F21" i="10"/>
  <c r="L12" i="14"/>
  <c r="L13" i="14" s="1"/>
  <c r="F26" i="8"/>
  <c r="F31" i="8" s="1" a="1"/>
  <c r="F31" i="8" s="1"/>
  <c r="F32" i="8" s="1"/>
  <c r="L18" i="14" l="1"/>
  <c r="M18" i="14"/>
  <c r="L19" i="14" l="1"/>
  <c r="C13" i="6" l="1"/>
  <c r="C36" i="8" s="1" a="1"/>
  <c r="C36" i="8" s="1"/>
  <c r="D13" i="6"/>
  <c r="D36" i="8" s="1" a="1"/>
  <c r="D36" i="8" s="1"/>
  <c r="E13" i="6"/>
  <c r="E36" i="8" s="1" a="1"/>
  <c r="E36" i="8" s="1"/>
  <c r="F13" i="6"/>
  <c r="F17" i="10" l="1"/>
  <c r="E17" i="10"/>
  <c r="F36" i="8" a="1"/>
  <c r="F36" i="8" s="1"/>
  <c r="D17" i="10"/>
  <c r="C17" i="10"/>
  <c r="C8" i="6"/>
  <c r="C16" i="10" s="1"/>
  <c r="D8" i="6"/>
  <c r="E8" i="6"/>
  <c r="E10" i="6" s="1"/>
  <c r="E18" i="6" s="1"/>
  <c r="F8" i="6"/>
  <c r="D16" i="10" l="1"/>
  <c r="F16" i="10"/>
  <c r="D10" i="6"/>
  <c r="D18" i="6" s="1"/>
  <c r="J5" i="14" s="1"/>
  <c r="J7" i="14" s="1"/>
  <c r="J10" i="14" s="1"/>
  <c r="J13" i="14" s="1"/>
  <c r="J18" i="14" s="1"/>
  <c r="J19" i="14" s="1"/>
  <c r="C10" i="6"/>
  <c r="C18" i="6" s="1"/>
  <c r="C19" i="6" s="1" a="1"/>
  <c r="C19" i="6" s="1"/>
  <c r="C20" i="6" s="1"/>
  <c r="E16" i="10"/>
  <c r="F10" i="6"/>
  <c r="F18" i="6" s="1"/>
  <c r="H5" i="14" s="1"/>
  <c r="H7" i="14" s="1"/>
  <c r="H10" i="14" s="1"/>
  <c r="H13" i="14" s="1"/>
  <c r="H18" i="14" s="1"/>
  <c r="H19" i="14" s="1"/>
  <c r="E19" i="6" a="1"/>
  <c r="E19" i="6" s="1"/>
  <c r="E20" i="6" s="1"/>
  <c r="I5" i="14"/>
  <c r="I7" i="14" s="1"/>
  <c r="I10" i="14" s="1"/>
  <c r="I13" i="14" s="1"/>
  <c r="I18" i="14" s="1"/>
  <c r="I19" i="14" s="1"/>
  <c r="K5" i="14" l="1"/>
  <c r="K7" i="14" s="1"/>
  <c r="K10" i="14" s="1"/>
  <c r="K13" i="14" s="1"/>
  <c r="K18" i="14" s="1"/>
  <c r="K19" i="14" s="1"/>
  <c r="C21" i="14" s="1"/>
  <c r="C23" i="14" s="1"/>
  <c r="C26" i="14" s="1"/>
  <c r="E24" i="14" s="1"/>
  <c r="D19" i="6" a="1"/>
  <c r="D19" i="6" s="1"/>
  <c r="D20" i="6" s="1"/>
  <c r="D21" i="6" s="1"/>
  <c r="D22" i="6" s="1"/>
  <c r="D19" i="10" s="1" a="1"/>
  <c r="D19" i="10" s="1"/>
  <c r="D20" i="10" s="1"/>
  <c r="F19" i="6" a="1"/>
  <c r="F19" i="6" s="1"/>
  <c r="F20" i="6" s="1"/>
  <c r="F37" i="8" s="1" a="1"/>
  <c r="F37" i="8" s="1"/>
  <c r="F39" i="8" s="1"/>
  <c r="E21" i="6"/>
  <c r="E22" i="6" s="1"/>
  <c r="E19" i="10" s="1" a="1"/>
  <c r="E19" i="10" s="1"/>
  <c r="E20" i="10" s="1"/>
  <c r="E37" i="8" a="1"/>
  <c r="E37" i="8" s="1"/>
  <c r="E39" i="8" s="1"/>
  <c r="C21" i="6"/>
  <c r="C22" i="6" s="1"/>
  <c r="C19" i="10" s="1" a="1"/>
  <c r="C19" i="10" s="1"/>
  <c r="C20" i="10" s="1"/>
  <c r="C37" i="8" a="1"/>
  <c r="C37" i="8" s="1"/>
  <c r="C39" i="8" s="1"/>
  <c r="F21" i="6" l="1"/>
  <c r="F22" i="6" s="1"/>
  <c r="F19" i="10" s="1" a="1"/>
  <c r="F19" i="10" s="1"/>
  <c r="F20" i="10" s="1"/>
  <c r="D37" i="8" a="1"/>
  <c r="D37" i="8" s="1"/>
  <c r="D39" i="8" s="1"/>
  <c r="D48" i="8" s="1"/>
  <c r="D49" i="8" s="1"/>
  <c r="D51" i="8" s="1"/>
  <c r="D53" i="8" s="1"/>
  <c r="E48" i="8"/>
  <c r="E49" i="8" s="1"/>
  <c r="E51" i="8" s="1"/>
  <c r="E53" i="8" s="1"/>
  <c r="F48" i="8"/>
  <c r="F49" i="8" s="1"/>
  <c r="F51" i="8" s="1"/>
  <c r="F53" i="8" s="1"/>
  <c r="C48" i="8"/>
  <c r="C49" i="8" s="1"/>
  <c r="C51" i="8" s="1"/>
  <c r="C53" i="8" s="1"/>
  <c r="I33" i="13" l="1" a="1"/>
  <c r="I33"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Saad Aamir</author>
  </authors>
  <commentList>
    <comment ref="O10" authorId="0" shapeId="0" xr:uid="{00000000-0006-0000-0500-000001000000}">
      <text>
        <r>
          <rPr>
            <sz val="9"/>
            <color indexed="81"/>
            <rFont val="Tahoma"/>
            <charset val="1"/>
          </rPr>
          <t xml:space="preserve">The net effect of Covid was calculated by:
1) Finding the projected Sales of 2020 using Economic Factors only.
2) Finding the actaul figures of 2020.
3) Labelling the gap between the 'projected sales of 2020 without covid' and actual figures as the net effect produced by Covid-19.
</t>
        </r>
      </text>
    </comment>
    <comment ref="G12" authorId="0" shapeId="0" xr:uid="{00000000-0006-0000-0500-000002000000}">
      <text>
        <r>
          <rPr>
            <sz val="9"/>
            <color indexed="81"/>
            <rFont val="Tahoma"/>
            <charset val="1"/>
          </rPr>
          <t xml:space="preserve">Although, all our inflation figures were taken from https://www.statista.com/statistics/383760/inflation-rate-in-pakistan/
For 2024 we increased the expected rate of inflation by 1.5 percentage points as historically our inflation rates take a higher-than-expected jump during the year after general elections. (due in 2023)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<sst xmlns="http://schemas.openxmlformats.org/spreadsheetml/2006/main" count="501" uniqueCount="322">
  <si>
    <t>Glaxo Smith Kline Pakistan Limited (GLAXO)</t>
  </si>
  <si>
    <t>FINN 100 - S2 Project</t>
  </si>
  <si>
    <t>Professor Salman Khan</t>
  </si>
  <si>
    <t>Group #</t>
  </si>
  <si>
    <t>Members</t>
  </si>
  <si>
    <t>Roll-Numbers</t>
  </si>
  <si>
    <t>Ahmad Ali</t>
  </si>
  <si>
    <t>Danish Muhammad Azhar</t>
  </si>
  <si>
    <t>Raza Zaidi</t>
  </si>
  <si>
    <t>Muhammad Aliyan Nawaz</t>
  </si>
  <si>
    <t>Muhammad Saad Aamir</t>
  </si>
  <si>
    <t>Glaxo Smith Kline</t>
  </si>
  <si>
    <t>Historical Income Statements</t>
  </si>
  <si>
    <t>Net Sales</t>
  </si>
  <si>
    <t>Less: Cost of Sales</t>
  </si>
  <si>
    <t>Gross Profit</t>
  </si>
  <si>
    <t>Less: Selling, Marketing, and Distribution Expenses</t>
  </si>
  <si>
    <t xml:space="preserve">     Administrative Expenses</t>
  </si>
  <si>
    <t xml:space="preserve">     Other Operating Expenses</t>
  </si>
  <si>
    <t>Other Income</t>
  </si>
  <si>
    <t>Operating Profit</t>
  </si>
  <si>
    <t>Less: Financial Charges</t>
  </si>
  <si>
    <t>Profit Before Tax</t>
  </si>
  <si>
    <t>Less: Taxation</t>
  </si>
  <si>
    <t>Profit After Tax</t>
  </si>
  <si>
    <t>Appendix</t>
  </si>
  <si>
    <t>1) Purchases</t>
  </si>
  <si>
    <t>2) Tax Rate</t>
  </si>
  <si>
    <t>4) Dividends Paid</t>
  </si>
  <si>
    <t>3) Lease Payments</t>
  </si>
  <si>
    <t>Cost of Sales Composition</t>
  </si>
  <si>
    <t>Components</t>
  </si>
  <si>
    <t>Sub-Totals</t>
  </si>
  <si>
    <t>Percentage of CS</t>
  </si>
  <si>
    <t>Percentage of Sales</t>
  </si>
  <si>
    <t>Fixed Costs</t>
  </si>
  <si>
    <t>Variable Costs</t>
  </si>
  <si>
    <t>Cost of Sales</t>
  </si>
  <si>
    <t>-</t>
  </si>
  <si>
    <t>Correlation of Inflation</t>
  </si>
  <si>
    <t>Selling, Marketing, and Distribution Expenses Composition</t>
  </si>
  <si>
    <t>Percentage of SMD</t>
  </si>
  <si>
    <t>Vairable Costs</t>
  </si>
  <si>
    <t>Selling, Marketing, and Distribution Expenses</t>
  </si>
  <si>
    <t>Administrative Expenses Composition</t>
  </si>
  <si>
    <t>Sub-Total</t>
  </si>
  <si>
    <t>Administrative Expenses</t>
  </si>
  <si>
    <t>Other Operating Expenses Composition</t>
  </si>
  <si>
    <t>Other Operating Expenses</t>
  </si>
  <si>
    <t>Historical Balance Sheet</t>
  </si>
  <si>
    <t>Assets</t>
  </si>
  <si>
    <t>Non-Current Assets</t>
  </si>
  <si>
    <t>Property, Plant and Equipment</t>
  </si>
  <si>
    <t>Intangibles</t>
  </si>
  <si>
    <t>Long-Term Loans to Employees</t>
  </si>
  <si>
    <t>Long-Term Deposits</t>
  </si>
  <si>
    <t>Current Assets</t>
  </si>
  <si>
    <t>Stores and Spares</t>
  </si>
  <si>
    <t>Stock-in-Trade</t>
  </si>
  <si>
    <t>Trade Desposits and pre-payment</t>
  </si>
  <si>
    <t>Trade Debts</t>
  </si>
  <si>
    <t>Loans and Advances</t>
  </si>
  <si>
    <t>Interest Accrued</t>
  </si>
  <si>
    <t>Taxation - payments less provision</t>
  </si>
  <si>
    <t>Refunds due from Government</t>
  </si>
  <si>
    <t>Other Receivables</t>
  </si>
  <si>
    <t>Investments - at ammortized cost</t>
  </si>
  <si>
    <t>Cash and Bank balances</t>
  </si>
  <si>
    <t>Held for Sale</t>
  </si>
  <si>
    <t>Total Assets</t>
  </si>
  <si>
    <t>Equity and Liabilities</t>
  </si>
  <si>
    <t>Equity</t>
  </si>
  <si>
    <t>Share Capital</t>
  </si>
  <si>
    <t>Reserve</t>
  </si>
  <si>
    <t>Liabilities</t>
  </si>
  <si>
    <t>Non-Current Liabilities</t>
  </si>
  <si>
    <t>Staff Retirement Benefits</t>
  </si>
  <si>
    <t>Deferred Taxation</t>
  </si>
  <si>
    <t>Long-term protion of Lease Liabilities</t>
  </si>
  <si>
    <t>Current Liabilities</t>
  </si>
  <si>
    <t>Trade and Other Payables</t>
  </si>
  <si>
    <t>Accrued Mark-up</t>
  </si>
  <si>
    <t>Taxation - Provision less Payments</t>
  </si>
  <si>
    <t>Provisions</t>
  </si>
  <si>
    <t>Current portion of Lease Liabilities</t>
  </si>
  <si>
    <t>Unclaimed Dividend</t>
  </si>
  <si>
    <t>Total Laibilities</t>
  </si>
  <si>
    <t>Total Equity and Liabilities</t>
  </si>
  <si>
    <t>Additional Information</t>
  </si>
  <si>
    <t>1) Number of Outstanding Common Shares</t>
  </si>
  <si>
    <t>2) Market Price per Share</t>
  </si>
  <si>
    <t>3) Book Value per Share</t>
  </si>
  <si>
    <t>4) Accounts Payable</t>
  </si>
  <si>
    <t>Ratio Analysis (Industry)</t>
  </si>
  <si>
    <t>For the Year 2019</t>
  </si>
  <si>
    <t>Ratios</t>
  </si>
  <si>
    <t>Industry Average*</t>
  </si>
  <si>
    <t>ABOT</t>
  </si>
  <si>
    <t>SAPL</t>
  </si>
  <si>
    <t>Liquidity</t>
  </si>
  <si>
    <t>Current Ratio</t>
  </si>
  <si>
    <t>Quick (Acid-Test Ratio)</t>
  </si>
  <si>
    <t>Activity</t>
  </si>
  <si>
    <t>Inventory Turnover</t>
  </si>
  <si>
    <t>Average Collection Period</t>
  </si>
  <si>
    <t>Average Payment Period</t>
  </si>
  <si>
    <t>Total Assets Turnover</t>
  </si>
  <si>
    <t>Debt</t>
  </si>
  <si>
    <t>Debt Ratio</t>
  </si>
  <si>
    <t>Times Interest Earned Ratio</t>
  </si>
  <si>
    <t>Fixed-Payment Coverage Ratio</t>
  </si>
  <si>
    <t>Profitability</t>
  </si>
  <si>
    <t>Gross Profit Margin</t>
  </si>
  <si>
    <t>Operating Profit Margin</t>
  </si>
  <si>
    <t>Net Profit Margin</t>
  </si>
  <si>
    <t>Earnings Per Share (EPS)</t>
  </si>
  <si>
    <t>Return on Total Assets (ROA)</t>
  </si>
  <si>
    <t>Return on Equity (ROE)</t>
  </si>
  <si>
    <t>Market</t>
  </si>
  <si>
    <t>Price/Earnings (P/E) Ratio</t>
  </si>
  <si>
    <t>Market/Book (M/B) Ratio</t>
  </si>
  <si>
    <t>Analysis Report</t>
  </si>
  <si>
    <t>Ratio Analysis</t>
  </si>
  <si>
    <t>Trend Lines</t>
  </si>
  <si>
    <t>Time Series Analysis</t>
  </si>
  <si>
    <t>Cross-Sectional Analysis</t>
  </si>
  <si>
    <t>Impoving</t>
  </si>
  <si>
    <t>Good</t>
  </si>
  <si>
    <t>Improving</t>
  </si>
  <si>
    <t>Fair</t>
  </si>
  <si>
    <t>Increasing</t>
  </si>
  <si>
    <t>Unstable</t>
  </si>
  <si>
    <t>Average</t>
  </si>
  <si>
    <t>Stable</t>
  </si>
  <si>
    <t>Deteriorating</t>
  </si>
  <si>
    <t>Poor</t>
  </si>
  <si>
    <t>*Averages of two other major companies, ABOT and SAPL</t>
  </si>
  <si>
    <t>Economic Factors</t>
  </si>
  <si>
    <t>Impact of Covid-19 on the Product Portfolio</t>
  </si>
  <si>
    <t>Sales Composition</t>
  </si>
  <si>
    <t xml:space="preserve">Sales </t>
  </si>
  <si>
    <t xml:space="preserve">Sales Growth Rate </t>
  </si>
  <si>
    <t xml:space="preserve">GDP Growth Rate </t>
  </si>
  <si>
    <t>Pharmaceutical Industry Growth Rate*</t>
  </si>
  <si>
    <t>Inflation</t>
  </si>
  <si>
    <t xml:space="preserve">Product </t>
  </si>
  <si>
    <t>HISTORICAL</t>
  </si>
  <si>
    <t>Antibiotics</t>
  </si>
  <si>
    <t>Dermatologicals</t>
  </si>
  <si>
    <t>Respiratory</t>
  </si>
  <si>
    <t>Psychiatric</t>
  </si>
  <si>
    <t>Over the Counter</t>
  </si>
  <si>
    <t xml:space="preserve">PROJECTED </t>
  </si>
  <si>
    <t>Vaccinations</t>
  </si>
  <si>
    <t>Others</t>
  </si>
  <si>
    <t>Net Impact</t>
  </si>
  <si>
    <t>Total Net Sales</t>
  </si>
  <si>
    <t>TOTAL</t>
  </si>
  <si>
    <t>Correlation</t>
  </si>
  <si>
    <t>Weighted</t>
  </si>
  <si>
    <t>*Excluding effects of Covid-19 on the Industry</t>
  </si>
  <si>
    <t>Long Term Economic Factors</t>
  </si>
  <si>
    <t>Pharmaceutical Sector as a % of GDP</t>
  </si>
  <si>
    <t>GDP (Billions)</t>
  </si>
  <si>
    <t>Exchange Rates (USD to PKR)</t>
  </si>
  <si>
    <t>Unemployment Rate</t>
  </si>
  <si>
    <t xml:space="preserve">Average Growth </t>
  </si>
  <si>
    <t>Total</t>
  </si>
  <si>
    <t>Long Run Growth Rate</t>
  </si>
  <si>
    <t>Covid-19 and Other Unseen catastrophes</t>
  </si>
  <si>
    <t>Stable Growth Rate</t>
  </si>
  <si>
    <t>Pro Forma Income Statements</t>
  </si>
  <si>
    <t>Net Sales Revenue</t>
  </si>
  <si>
    <t xml:space="preserve">          Sales Growth %</t>
  </si>
  <si>
    <t>Less Cost of Sales</t>
  </si>
  <si>
    <t xml:space="preserve">          Fixed Cost</t>
  </si>
  <si>
    <t xml:space="preserve">          Variable Cost</t>
  </si>
  <si>
    <t xml:space="preserve">          as % of Sales</t>
  </si>
  <si>
    <t>Less: Selling, marketing and distribution expenses</t>
  </si>
  <si>
    <t>Less Interest Expense</t>
  </si>
  <si>
    <t>Pro Forma Balance Sheet</t>
  </si>
  <si>
    <t>Total Non-Current Assets</t>
  </si>
  <si>
    <t>Total Current Assets</t>
  </si>
  <si>
    <t>External Financing Required</t>
  </si>
  <si>
    <t>Trade Payables</t>
  </si>
  <si>
    <t>Period</t>
  </si>
  <si>
    <t>Percentage of Purchases</t>
  </si>
  <si>
    <t>Cash Sales</t>
  </si>
  <si>
    <t>Cash Puchases</t>
  </si>
  <si>
    <t>Upto 3 Months</t>
  </si>
  <si>
    <t>Credit Purchases</t>
  </si>
  <si>
    <t>3-6 Months</t>
  </si>
  <si>
    <t>Total Net Purchases</t>
  </si>
  <si>
    <t>6-12 Months</t>
  </si>
  <si>
    <t>Over 1 Year</t>
  </si>
  <si>
    <t>Forecasted Cash Budget</t>
  </si>
  <si>
    <t>Cash Inflow</t>
  </si>
  <si>
    <t xml:space="preserve">     Cash Sales</t>
  </si>
  <si>
    <t xml:space="preserve">     Collection of Receivables</t>
  </si>
  <si>
    <t xml:space="preserve">          Previous Year Lag</t>
  </si>
  <si>
    <t xml:space="preserve">          Current Year</t>
  </si>
  <si>
    <t xml:space="preserve">     Other Income</t>
  </si>
  <si>
    <t>Total Cash Receipts</t>
  </si>
  <si>
    <t>Cash Outflow</t>
  </si>
  <si>
    <t xml:space="preserve">     Cash Purchases</t>
  </si>
  <si>
    <t xml:space="preserve">     Payment of Payables</t>
  </si>
  <si>
    <t xml:space="preserve">     Other Costs of Sales</t>
  </si>
  <si>
    <t xml:space="preserve">     Selling, Marketing and Distribution Expenses</t>
  </si>
  <si>
    <t xml:space="preserve">     Dividends Payments</t>
  </si>
  <si>
    <t xml:space="preserve">     Other Payments</t>
  </si>
  <si>
    <t>Total Cash Disbursements</t>
  </si>
  <si>
    <t>Net Cash Flow</t>
  </si>
  <si>
    <t>Add: Beginning Cash</t>
  </si>
  <si>
    <t>Ending Cash Balance</t>
  </si>
  <si>
    <t>Minimum Cash Balance Required</t>
  </si>
  <si>
    <t>Required Total Financing</t>
  </si>
  <si>
    <t>Excess Cash Balance</t>
  </si>
  <si>
    <t>KSE 100</t>
  </si>
  <si>
    <t>GLAXO</t>
  </si>
  <si>
    <t>PK TREASURY BILL RATE: SIX MONTHS NADJ</t>
  </si>
  <si>
    <t>Date</t>
  </si>
  <si>
    <t>Price</t>
  </si>
  <si>
    <t>Change</t>
  </si>
  <si>
    <t>RFR</t>
  </si>
  <si>
    <t>SUMMARY OUTPUT</t>
  </si>
  <si>
    <t>Regression Statistics</t>
  </si>
  <si>
    <t>Multiple R</t>
  </si>
  <si>
    <t>R Square</t>
  </si>
  <si>
    <t>Adjusted R Square</t>
  </si>
  <si>
    <t>Standard Error</t>
  </si>
  <si>
    <t>Observations</t>
  </si>
  <si>
    <t>ANOVA</t>
  </si>
  <si>
    <t>df</t>
  </si>
  <si>
    <t>SS</t>
  </si>
  <si>
    <t>MS</t>
  </si>
  <si>
    <t>F</t>
  </si>
  <si>
    <t>Significance F</t>
  </si>
  <si>
    <t>Regression</t>
  </si>
  <si>
    <t>Residual</t>
  </si>
  <si>
    <t>Coefficients</t>
  </si>
  <si>
    <t>t Stat</t>
  </si>
  <si>
    <t>P-value</t>
  </si>
  <si>
    <t>Lower 95%</t>
  </si>
  <si>
    <t>Upper 95%</t>
  </si>
  <si>
    <t>Lower 95.0%</t>
  </si>
  <si>
    <t>Upper 95.0%</t>
  </si>
  <si>
    <t>Intercept</t>
  </si>
  <si>
    <t>X Variable 1</t>
  </si>
  <si>
    <t>CAPM</t>
  </si>
  <si>
    <t>Weekly Market Return</t>
  </si>
  <si>
    <t>Weekly Stock Return</t>
  </si>
  <si>
    <t>Annual Market Return</t>
  </si>
  <si>
    <t>Annual Stock Return</t>
  </si>
  <si>
    <t>Risk Free Rate</t>
  </si>
  <si>
    <t>Beta</t>
  </si>
  <si>
    <t>Required Return (rs)</t>
  </si>
  <si>
    <t>Weighted Average Cost of Capital</t>
  </si>
  <si>
    <t>Number of Shares Outstanding</t>
  </si>
  <si>
    <t>Share Price *</t>
  </si>
  <si>
    <t>Weight of Debt</t>
  </si>
  <si>
    <t>Market Capitalisation</t>
  </si>
  <si>
    <t>Tax Rate</t>
  </si>
  <si>
    <t>Requied Return (rs)</t>
  </si>
  <si>
    <t>Weight of Equity</t>
  </si>
  <si>
    <t>Require Return after Tax (ri)</t>
  </si>
  <si>
    <t>Capital</t>
  </si>
  <si>
    <t>WACC</t>
  </si>
  <si>
    <t>Free Cash Flows</t>
  </si>
  <si>
    <t>Historical</t>
  </si>
  <si>
    <t>Forecasted</t>
  </si>
  <si>
    <t>Earnings before Interest and Taxes</t>
  </si>
  <si>
    <t>Net Operating Profit</t>
  </si>
  <si>
    <t>Depreciation</t>
  </si>
  <si>
    <t xml:space="preserve">          % of Fixed Assets</t>
  </si>
  <si>
    <t>Operating Cashflow</t>
  </si>
  <si>
    <t>Net Fixed Asset Investment</t>
  </si>
  <si>
    <t>Net Current Asset Investments</t>
  </si>
  <si>
    <t>Stable Terminal Growth Rate</t>
  </si>
  <si>
    <t>Year</t>
  </si>
  <si>
    <t>2025 onwards</t>
  </si>
  <si>
    <t>Free Cashflows</t>
  </si>
  <si>
    <t>Present Value</t>
  </si>
  <si>
    <t>Value of the Company</t>
  </si>
  <si>
    <t>Value of the Debt</t>
  </si>
  <si>
    <t>Value of the Stock</t>
  </si>
  <si>
    <t>Price of the Stock</t>
  </si>
  <si>
    <t>Coupon Payment (Interest Paid)</t>
  </si>
  <si>
    <t>Future Face Value (Book Value)</t>
  </si>
  <si>
    <t>Market Value</t>
  </si>
  <si>
    <t>Years to Maturity</t>
  </si>
  <si>
    <t>Coupon (Interest) Rate</t>
  </si>
  <si>
    <t>Weighted Require Return (rd)</t>
  </si>
  <si>
    <t>Kindly input the lasest closing share price for accurate and up-to-date calculations.</t>
  </si>
  <si>
    <t>*Share Price as per the Latest Input</t>
  </si>
  <si>
    <t>GLAXO - Stock quote for GlaxoSmithKline Pakistan Limited - Pakistan Stock Exchange (PSX)</t>
  </si>
  <si>
    <t>Use the Following Link for Quick Access</t>
  </si>
  <si>
    <t>GLAXO Stock Price</t>
  </si>
  <si>
    <t>Last Updated</t>
  </si>
  <si>
    <t>Enable Macros for Access</t>
  </si>
  <si>
    <t>Ctrl+Shift+O</t>
  </si>
  <si>
    <t>Ctrl+Shift+L</t>
  </si>
  <si>
    <t>Ctrl+Shift+P</t>
  </si>
  <si>
    <t>or either use Senario Manager in 'Sales Projection' worksheet</t>
  </si>
  <si>
    <t>Slope of SML/Market Premium</t>
  </si>
  <si>
    <t>Real Interest Rate</t>
  </si>
  <si>
    <t>P</t>
  </si>
  <si>
    <t>Dt</t>
  </si>
  <si>
    <t>D</t>
  </si>
  <si>
    <t>(1+rs)^t</t>
  </si>
  <si>
    <t>Dn</t>
  </si>
  <si>
    <t>Dn+1</t>
  </si>
  <si>
    <t>Pn</t>
  </si>
  <si>
    <t>Pt</t>
  </si>
  <si>
    <t>Price of Stock</t>
  </si>
  <si>
    <t>Variable Growth Rate Model</t>
  </si>
  <si>
    <t>(1+g*)</t>
  </si>
  <si>
    <t>(1+g**)</t>
  </si>
  <si>
    <t>g**= Stable/Terminal Long Term Growth Rate</t>
  </si>
  <si>
    <t xml:space="preserve">Total    </t>
  </si>
  <si>
    <t>(rs-g**)</t>
  </si>
  <si>
    <t>g*= Average Dividend Growth Rates (2015-2019)</t>
  </si>
  <si>
    <t>Final Judgment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</si>
</sst>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6" formatCode="&quot;$&quot;#,##0_);[Red]\(&quot;$&quot;#,##0\)"/>
    <numFmt numFmtId="44" formatCode="_(&quot;$&quot;* #,##0.00_);_(&quot;$&quot;* \(#,##0.00\);_(&quot;$&quot;* &quot;-&quot;??_);_(@_)"/>
    <numFmt numFmtId="43" formatCode="_(* #,##0.00_);_(* \(#,##0.00\);_(* &quot;-&quot;??_);_(@_)"/>
    <numFmt numFmtId="164" formatCode="#,##0_ ;[Red]\-#,##0\ "/>
    <numFmt numFmtId="165" formatCode="#,##0.0"/>
    <numFmt numFmtId="166" formatCode="_(* #,##0_);_(* \(#,##0\);_(* &quot;-&quot;??_);_(@_)"/>
    <numFmt numFmtId="167" formatCode="#,##0.0000_);[Red]\(#,##0.0000\)"/>
    <numFmt numFmtId="168" formatCode="0.000%"/>
    <numFmt numFmtId="169" formatCode="0.00000000"/>
    <numFmt numFmtId="170" formatCode="_(* #,##0.000_);_(* \(#,##0.000\);_(* &quot;-&quot;??_);_(@_)"/>
    <numFmt numFmtId="171" formatCode="[$PKR]\ #,##0_);[Red]\([$PKR]\ #,##0\)"/>
    <numFmt numFmtId="172" formatCode="[$PKR]\ #,##0.00_);[Red]\([$PKR]\ #,##0.00\)"/>
    <numFmt numFmtId="173" formatCode="[$PKR]\ #,##0_);\([$PKR]\ #,##0\)"/>
    <numFmt numFmtId="174" formatCode="[$PKR]\ #,##0.00"/>
    <numFmt numFmtId="175" formatCode="0.000"/>
    <numFmt numFmtId="176" formatCode="_(* #,##0.00000_);_(* \(#,##0.00000\);_(* &quot;-&quot;??_);_(@_)"/>
    <numFmt numFmtId="177" formatCode="0.000000"/>
    <numFmt numFmtId="178" formatCode="0.0000000"/>
    <numFmt numFmtId="179" formatCode="[$-409]m/d/yy\ h:mm\ AM/PM;@"/>
    <numFmt numFmtId="180" formatCode="[$PKR]\ #,##0.00_);\([$PKR]\ #,##0.00\)"/>
    <numFmt numFmtId="181" formatCode="0.0000%"/>
  </numFmts>
  <fonts count="33" x14ac:knownFonts="1">
    <font>
      <sz val="11"/>
      <color theme="1"/>
      <name val="Calibri"/>
      <family val="2"/>
      <scheme val="minor"/>
    </font>
    <font>
      <sz val="11"/>
      <color theme="1"/>
      <name val="Calibri"/>
      <family val="2"/>
      <scheme val="minor"/>
    </font>
    <font>
      <sz val="8"/>
      <name val="Calibri"/>
      <family val="2"/>
      <scheme val="minor"/>
    </font>
    <font>
      <u/>
      <sz val="11"/>
      <color theme="10"/>
      <name val="Calibri"/>
      <family val="2"/>
      <scheme val="minor"/>
    </font>
    <font>
      <sz val="11"/>
      <color theme="1"/>
      <name val="Times New Roman"/>
      <family val="1"/>
    </font>
    <font>
      <b/>
      <sz val="12"/>
      <color theme="1"/>
      <name val="Times New Roman"/>
      <family val="1"/>
    </font>
    <font>
      <b/>
      <sz val="12"/>
      <name val="Times New Roman"/>
      <family val="1"/>
    </font>
    <font>
      <sz val="12"/>
      <color theme="1"/>
      <name val="Times New Roman"/>
      <family val="1"/>
    </font>
    <font>
      <sz val="12"/>
      <color rgb="FF000000"/>
      <name val="Times New Roman"/>
      <family val="1"/>
    </font>
    <font>
      <b/>
      <sz val="16"/>
      <name val="Times New Roman"/>
      <family val="1"/>
    </font>
    <font>
      <sz val="16"/>
      <name val="Times New Roman"/>
      <family val="1"/>
    </font>
    <font>
      <i/>
      <sz val="12"/>
      <color theme="1"/>
      <name val="Times New Roman"/>
      <family val="1"/>
    </font>
    <font>
      <b/>
      <i/>
      <sz val="12"/>
      <color theme="1"/>
      <name val="Times New Roman"/>
      <family val="1"/>
    </font>
    <font>
      <b/>
      <sz val="10"/>
      <color theme="1"/>
      <name val="Times New Roman"/>
      <family val="1"/>
    </font>
    <font>
      <sz val="10"/>
      <color theme="1"/>
      <name val="Times New Roman"/>
      <family val="1"/>
    </font>
    <font>
      <b/>
      <sz val="11"/>
      <color theme="1"/>
      <name val="Times New Roman"/>
      <family val="1"/>
    </font>
    <font>
      <b/>
      <sz val="11"/>
      <color rgb="FF000000"/>
      <name val="Times New Roman"/>
      <family val="1"/>
    </font>
    <font>
      <sz val="11"/>
      <color rgb="FF000000"/>
      <name val="Times New Roman"/>
      <family val="1"/>
    </font>
    <font>
      <b/>
      <i/>
      <sz val="11"/>
      <color theme="1"/>
      <name val="Times New Roman"/>
      <family val="1"/>
    </font>
    <font>
      <i/>
      <sz val="11"/>
      <color theme="1"/>
      <name val="Times New Roman"/>
      <family val="1"/>
    </font>
    <font>
      <b/>
      <sz val="11"/>
      <color rgb="FFC00000"/>
      <name val="Times New Roman"/>
      <family val="1"/>
    </font>
    <font>
      <b/>
      <sz val="14"/>
      <color theme="1"/>
      <name val="Times New Roman"/>
      <family val="1"/>
    </font>
    <font>
      <sz val="20"/>
      <color theme="0"/>
      <name val="Berlin Sans FB Demi"/>
      <family val="2"/>
    </font>
    <font>
      <b/>
      <sz val="16"/>
      <color theme="1"/>
      <name val="Times New Roman"/>
      <family val="1"/>
    </font>
    <font>
      <sz val="28"/>
      <color theme="1"/>
      <name val="Times New Roman"/>
      <family val="1"/>
    </font>
    <font>
      <b/>
      <sz val="18"/>
      <color theme="1"/>
      <name val="Times New Roman"/>
      <family val="1"/>
    </font>
    <font>
      <b/>
      <sz val="12"/>
      <color theme="1"/>
      <name val="Calibri"/>
      <family val="2"/>
      <scheme val="minor"/>
    </font>
    <font>
      <b/>
      <i/>
      <u/>
      <sz val="14"/>
      <color theme="4" tint="-0.249977111117893"/>
      <name val="Times New Roman"/>
      <family val="1"/>
    </font>
    <font>
      <b/>
      <sz val="24"/>
      <color theme="1"/>
      <name val="Times New Roman"/>
      <family val="1"/>
    </font>
    <font>
      <sz val="11"/>
      <color rgb="FFFF0000"/>
      <name val="Calibri"/>
      <family val="2"/>
      <scheme val="minor"/>
    </font>
    <font>
      <b/>
      <i/>
      <sz val="9"/>
      <color theme="1"/>
      <name val="Times New Roman"/>
      <family val="1"/>
    </font>
    <font>
      <sz val="18"/>
      <color theme="0"/>
      <name val="Berlin Sans FB Demi"/>
      <family val="2"/>
    </font>
    <font>
      <sz val="9"/>
      <color indexed="81"/>
      <name val="Tahoma"/>
      <charset val="1"/>
    </font>
  </fonts>
  <fills count="32">
    <fill>
      <patternFill patternType="none"/>
    </fill>
    <fill>
      <patternFill patternType="gray125"/>
    </fill>
    <fill>
      <patternFill patternType="solid">
        <fgColor theme="5" tint="0.79998168889431442"/>
        <bgColor indexed="64"/>
      </patternFill>
    </fill>
    <fill>
      <patternFill patternType="solid">
        <fgColor rgb="FFE5DFEC"/>
        <bgColor rgb="FFE5DFEC"/>
      </patternFill>
    </fill>
    <fill>
      <patternFill patternType="solid">
        <fgColor rgb="FFFFFF00"/>
        <bgColor indexed="64"/>
      </patternFill>
    </fill>
    <fill>
      <patternFill patternType="solid">
        <fgColor rgb="FFCFE2F3"/>
        <bgColor rgb="FFCFE2F3"/>
      </patternFill>
    </fill>
    <fill>
      <patternFill patternType="solid">
        <fgColor theme="5" tint="0.79998168889431442"/>
        <bgColor theme="4"/>
      </patternFill>
    </fill>
    <fill>
      <patternFill patternType="solid">
        <fgColor theme="5" tint="0.39997558519241921"/>
        <bgColor theme="4"/>
      </patternFill>
    </fill>
    <fill>
      <patternFill patternType="solid">
        <fgColor theme="5" tint="0.59999389629810485"/>
        <bgColor theme="4"/>
      </patternFill>
    </fill>
    <fill>
      <patternFill patternType="solid">
        <fgColor theme="4" tint="0.59999389629810485"/>
        <bgColor indexed="64"/>
      </patternFill>
    </fill>
    <fill>
      <patternFill patternType="solid">
        <fgColor theme="9" tint="0.79998168889431442"/>
        <bgColor rgb="FFCCC0D9"/>
      </patternFill>
    </fill>
    <fill>
      <patternFill patternType="solid">
        <fgColor theme="4" tint="0.79998168889431442"/>
        <bgColor indexed="64"/>
      </patternFill>
    </fill>
    <fill>
      <patternFill patternType="solid">
        <fgColor theme="4" tint="0.79998168889431442"/>
        <bgColor rgb="FFFFFFFF"/>
      </patternFill>
    </fill>
    <fill>
      <patternFill patternType="solid">
        <fgColor theme="5" tint="0.59999389629810485"/>
        <bgColor rgb="FFDBE5F1"/>
      </patternFill>
    </fill>
    <fill>
      <patternFill patternType="solid">
        <fgColor theme="5" tint="0.39997558519241921"/>
        <bgColor rgb="FFB2A1C7"/>
      </patternFill>
    </fill>
    <fill>
      <patternFill patternType="solid">
        <fgColor theme="5"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2"/>
        <bgColor indexed="64"/>
      </patternFill>
    </fill>
    <fill>
      <patternFill patternType="solid">
        <fgColor theme="8" tint="0.79998168889431442"/>
        <bgColor indexed="64"/>
      </patternFill>
    </fill>
    <fill>
      <patternFill patternType="solid">
        <fgColor theme="0"/>
        <bgColor indexed="64"/>
      </patternFill>
    </fill>
    <fill>
      <patternFill patternType="solid">
        <fgColor theme="5"/>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7"/>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rgb="FF47FF9A"/>
        <bgColor indexed="64"/>
      </patternFill>
    </fill>
    <fill>
      <patternFill patternType="solid">
        <fgColor rgb="FFFFFF8F"/>
        <bgColor indexed="64"/>
      </patternFill>
    </fill>
    <fill>
      <patternFill patternType="solid">
        <fgColor rgb="FFFF5757"/>
        <bgColor indexed="64"/>
      </patternFill>
    </fill>
  </fills>
  <borders count="59">
    <border>
      <left/>
      <right/>
      <top/>
      <bottom/>
      <diagonal/>
    </border>
    <border>
      <left/>
      <right/>
      <top style="thin">
        <color indexed="64"/>
      </top>
      <bottom/>
      <diagonal/>
    </border>
    <border>
      <left/>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000000"/>
      </left>
      <right style="thin">
        <color rgb="FF000000"/>
      </right>
      <top/>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thick">
        <color indexed="64"/>
      </top>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style="thick">
        <color indexed="64"/>
      </right>
      <top/>
      <bottom/>
      <diagonal/>
    </border>
    <border>
      <left style="thick">
        <color indexed="64"/>
      </left>
      <right/>
      <top/>
      <bottom/>
      <diagonal/>
    </border>
    <border>
      <left/>
      <right/>
      <top style="thick">
        <color indexed="64"/>
      </top>
      <bottom style="thick">
        <color indexed="64"/>
      </bottom>
      <diagonal/>
    </border>
    <border>
      <left style="thin">
        <color indexed="64"/>
      </left>
      <right style="thin">
        <color indexed="64"/>
      </right>
      <top style="medium">
        <color indexed="64"/>
      </top>
      <bottom style="thin">
        <color indexed="64"/>
      </bottom>
      <diagonal/>
    </border>
  </borders>
  <cellStyleXfs count="5">
    <xf numFmtId="0" fontId="0" fillId="0" borderId="0"/>
    <xf numFmtId="43" fontId="1" fillId="0" borderId="0" applyFont="0" applyFill="0" applyBorder="0" applyAlignment="0" applyProtection="0"/>
    <xf numFmtId="0" fontId="3"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cellStyleXfs>
  <cellXfs count="547">
    <xf numFmtId="0" fontId="0" fillId="0" borderId="0" xfId="0"/>
    <xf numFmtId="38" fontId="0" fillId="0" borderId="0" xfId="0" applyNumberFormat="1"/>
    <xf numFmtId="0" fontId="3" fillId="0" borderId="0" xfId="2"/>
    <xf numFmtId="0" fontId="4" fillId="0" borderId="0" xfId="0" applyFont="1"/>
    <xf numFmtId="0" fontId="5" fillId="0" borderId="0" xfId="0" applyFont="1"/>
    <xf numFmtId="0" fontId="7" fillId="0" borderId="0" xfId="0" applyFont="1"/>
    <xf numFmtId="0" fontId="5" fillId="0" borderId="0" xfId="0" applyFont="1" applyAlignment="1">
      <alignment wrapText="1"/>
    </xf>
    <xf numFmtId="0" fontId="5" fillId="15" borderId="6" xfId="0" applyFont="1" applyFill="1" applyBorder="1"/>
    <xf numFmtId="0" fontId="7" fillId="13" borderId="6" xfId="0" applyFont="1" applyFill="1" applyBorder="1"/>
    <xf numFmtId="10" fontId="8" fillId="12" borderId="6" xfId="0" applyNumberFormat="1" applyFont="1" applyFill="1" applyBorder="1" applyAlignment="1">
      <alignment horizontal="center"/>
    </xf>
    <xf numFmtId="10" fontId="7" fillId="11" borderId="6" xfId="0" applyNumberFormat="1" applyFont="1" applyFill="1" applyBorder="1" applyAlignment="1">
      <alignment horizontal="center"/>
    </xf>
    <xf numFmtId="10" fontId="8" fillId="11" borderId="6" xfId="0" applyNumberFormat="1" applyFont="1" applyFill="1" applyBorder="1" applyAlignment="1">
      <alignment horizontal="center"/>
    </xf>
    <xf numFmtId="0" fontId="7" fillId="16" borderId="6" xfId="0" applyFont="1" applyFill="1" applyBorder="1"/>
    <xf numFmtId="0" fontId="7" fillId="14" borderId="6" xfId="0" applyFont="1" applyFill="1" applyBorder="1"/>
    <xf numFmtId="10" fontId="7" fillId="10" borderId="6" xfId="0" applyNumberFormat="1" applyFont="1" applyFill="1" applyBorder="1" applyAlignment="1">
      <alignment horizontal="center"/>
    </xf>
    <xf numFmtId="0" fontId="7" fillId="14" borderId="3" xfId="0" applyFont="1" applyFill="1" applyBorder="1"/>
    <xf numFmtId="10" fontId="7" fillId="10" borderId="3" xfId="0" applyNumberFormat="1" applyFont="1" applyFill="1" applyBorder="1" applyAlignment="1">
      <alignment horizontal="center"/>
    </xf>
    <xf numFmtId="0" fontId="5" fillId="19" borderId="6" xfId="0" applyFont="1" applyFill="1" applyBorder="1" applyAlignment="1">
      <alignment horizontal="center"/>
    </xf>
    <xf numFmtId="0" fontId="7" fillId="0" borderId="0" xfId="0" applyFont="1" applyBorder="1" applyAlignment="1">
      <alignment horizontal="center" vertical="center"/>
    </xf>
    <xf numFmtId="0" fontId="5" fillId="5" borderId="6" xfId="0" applyFont="1" applyFill="1" applyBorder="1" applyAlignment="1">
      <alignment horizontal="center" vertical="center" wrapText="1"/>
    </xf>
    <xf numFmtId="165" fontId="5" fillId="19" borderId="6" xfId="0" applyNumberFormat="1" applyFont="1" applyFill="1" applyBorder="1" applyAlignment="1">
      <alignment horizontal="center" vertical="center" wrapText="1"/>
    </xf>
    <xf numFmtId="0" fontId="5" fillId="19" borderId="6" xfId="0" applyFont="1" applyFill="1" applyBorder="1" applyAlignment="1">
      <alignment horizontal="center" vertical="center"/>
    </xf>
    <xf numFmtId="0" fontId="5" fillId="19" borderId="6" xfId="0" applyFont="1" applyFill="1" applyBorder="1" applyAlignment="1">
      <alignment vertical="center"/>
    </xf>
    <xf numFmtId="0" fontId="7" fillId="0" borderId="0" xfId="0" applyFont="1" applyAlignment="1">
      <alignment vertical="center"/>
    </xf>
    <xf numFmtId="165" fontId="5" fillId="0" borderId="0" xfId="0" applyNumberFormat="1" applyFont="1" applyAlignment="1">
      <alignment horizontal="center"/>
    </xf>
    <xf numFmtId="0" fontId="7" fillId="0" borderId="0" xfId="0" applyFont="1" applyAlignment="1">
      <alignment horizontal="center"/>
    </xf>
    <xf numFmtId="0" fontId="5" fillId="5" borderId="6" xfId="0" applyFont="1" applyFill="1" applyBorder="1" applyAlignment="1">
      <alignment horizontal="center"/>
    </xf>
    <xf numFmtId="165" fontId="5" fillId="19" borderId="6" xfId="0" applyNumberFormat="1" applyFont="1" applyFill="1" applyBorder="1" applyAlignment="1">
      <alignment horizontal="center"/>
    </xf>
    <xf numFmtId="0" fontId="7" fillId="19" borderId="6" xfId="0" applyFont="1" applyFill="1" applyBorder="1" applyAlignment="1">
      <alignment horizontal="center"/>
    </xf>
    <xf numFmtId="0" fontId="5" fillId="19" borderId="6" xfId="0" applyFont="1" applyFill="1" applyBorder="1"/>
    <xf numFmtId="0" fontId="5" fillId="0" borderId="0" xfId="0" applyFont="1" applyAlignment="1"/>
    <xf numFmtId="3" fontId="7" fillId="0" borderId="0" xfId="1" applyNumberFormat="1" applyFont="1"/>
    <xf numFmtId="3" fontId="5" fillId="0" borderId="0" xfId="0" applyNumberFormat="1" applyFont="1"/>
    <xf numFmtId="0" fontId="14" fillId="0" borderId="0" xfId="0" applyFont="1"/>
    <xf numFmtId="0" fontId="13" fillId="0" borderId="0" xfId="0" applyFont="1" applyAlignment="1"/>
    <xf numFmtId="0" fontId="7" fillId="15" borderId="6" xfId="0" applyFont="1" applyFill="1" applyBorder="1"/>
    <xf numFmtId="0" fontId="5" fillId="9" borderId="6" xfId="0" applyFont="1" applyFill="1" applyBorder="1"/>
    <xf numFmtId="38" fontId="7" fillId="18" borderId="0" xfId="0" applyNumberFormat="1" applyFont="1" applyFill="1" applyBorder="1" applyAlignment="1">
      <alignment horizontal="center"/>
    </xf>
    <xf numFmtId="38" fontId="5" fillId="18" borderId="7" xfId="0" applyNumberFormat="1" applyFont="1" applyFill="1" applyBorder="1" applyAlignment="1">
      <alignment horizontal="center"/>
    </xf>
    <xf numFmtId="38" fontId="7" fillId="18" borderId="11" xfId="0" applyNumberFormat="1" applyFont="1" applyFill="1" applyBorder="1" applyAlignment="1">
      <alignment horizontal="center"/>
    </xf>
    <xf numFmtId="38" fontId="7" fillId="18" borderId="1" xfId="0" applyNumberFormat="1" applyFont="1" applyFill="1" applyBorder="1" applyAlignment="1">
      <alignment horizontal="center"/>
    </xf>
    <xf numFmtId="38" fontId="7" fillId="18" borderId="12" xfId="0" applyNumberFormat="1" applyFont="1" applyFill="1" applyBorder="1" applyAlignment="1">
      <alignment horizontal="center"/>
    </xf>
    <xf numFmtId="38" fontId="7" fillId="18" borderId="13" xfId="0" applyNumberFormat="1" applyFont="1" applyFill="1" applyBorder="1" applyAlignment="1">
      <alignment horizontal="center"/>
    </xf>
    <xf numFmtId="38" fontId="7" fillId="18" borderId="14" xfId="0" applyNumberFormat="1" applyFont="1" applyFill="1" applyBorder="1" applyAlignment="1">
      <alignment horizontal="center"/>
    </xf>
    <xf numFmtId="38" fontId="5" fillId="18" borderId="10" xfId="0" applyNumberFormat="1" applyFont="1" applyFill="1" applyBorder="1" applyAlignment="1">
      <alignment horizontal="center"/>
    </xf>
    <xf numFmtId="38" fontId="5" fillId="18" borderId="8" xfId="0" applyNumberFormat="1" applyFont="1" applyFill="1" applyBorder="1" applyAlignment="1">
      <alignment horizontal="center"/>
    </xf>
    <xf numFmtId="3" fontId="7" fillId="18" borderId="12" xfId="0" applyNumberFormat="1" applyFont="1" applyFill="1" applyBorder="1" applyAlignment="1">
      <alignment horizontal="center" wrapText="1"/>
    </xf>
    <xf numFmtId="38" fontId="7" fillId="18" borderId="14" xfId="0" applyNumberFormat="1" applyFont="1" applyFill="1" applyBorder="1" applyAlignment="1">
      <alignment horizontal="center" wrapText="1"/>
    </xf>
    <xf numFmtId="3" fontId="7" fillId="18" borderId="14" xfId="0" applyNumberFormat="1" applyFont="1" applyFill="1" applyBorder="1" applyAlignment="1">
      <alignment horizontal="center"/>
    </xf>
    <xf numFmtId="38" fontId="7" fillId="17" borderId="1" xfId="0" applyNumberFormat="1" applyFont="1" applyFill="1" applyBorder="1" applyAlignment="1">
      <alignment horizontal="center"/>
    </xf>
    <xf numFmtId="38" fontId="7" fillId="17" borderId="12" xfId="0" applyNumberFormat="1" applyFont="1" applyFill="1" applyBorder="1" applyAlignment="1">
      <alignment horizontal="center"/>
    </xf>
    <xf numFmtId="38" fontId="7" fillId="17" borderId="9" xfId="0" applyNumberFormat="1" applyFont="1" applyFill="1" applyBorder="1" applyAlignment="1">
      <alignment horizontal="center"/>
    </xf>
    <xf numFmtId="38" fontId="7" fillId="17" borderId="18" xfId="0" applyNumberFormat="1" applyFont="1" applyFill="1" applyBorder="1" applyAlignment="1">
      <alignment horizontal="center"/>
    </xf>
    <xf numFmtId="0" fontId="7" fillId="15" borderId="4" xfId="0" applyFont="1" applyFill="1" applyBorder="1"/>
    <xf numFmtId="0" fontId="5" fillId="15" borderId="18" xfId="0" applyFont="1" applyFill="1" applyBorder="1" applyAlignment="1">
      <alignment horizontal="center"/>
    </xf>
    <xf numFmtId="0" fontId="5" fillId="15" borderId="4" xfId="0" applyFont="1" applyFill="1" applyBorder="1" applyAlignment="1">
      <alignment horizontal="center"/>
    </xf>
    <xf numFmtId="0" fontId="12" fillId="16" borderId="10" xfId="0" applyFont="1" applyFill="1" applyBorder="1"/>
    <xf numFmtId="0" fontId="13" fillId="16" borderId="6" xfId="0" applyFont="1" applyFill="1" applyBorder="1"/>
    <xf numFmtId="0" fontId="13" fillId="16" borderId="8" xfId="0" applyFont="1" applyFill="1" applyBorder="1"/>
    <xf numFmtId="0" fontId="14" fillId="16" borderId="6" xfId="0" applyFont="1" applyFill="1" applyBorder="1"/>
    <xf numFmtId="0" fontId="14" fillId="16" borderId="4" xfId="0" applyFont="1" applyFill="1" applyBorder="1"/>
    <xf numFmtId="0" fontId="4" fillId="16" borderId="6" xfId="0" applyFont="1" applyFill="1" applyBorder="1"/>
    <xf numFmtId="0" fontId="13" fillId="16" borderId="4" xfId="0" applyFont="1" applyFill="1" applyBorder="1"/>
    <xf numFmtId="38" fontId="14" fillId="17" borderId="11" xfId="0" applyNumberFormat="1" applyFont="1" applyFill="1" applyBorder="1"/>
    <xf numFmtId="10" fontId="14" fillId="17" borderId="12" xfId="0" applyNumberFormat="1" applyFont="1" applyFill="1" applyBorder="1"/>
    <xf numFmtId="37" fontId="14" fillId="17" borderId="13" xfId="1" applyNumberFormat="1" applyFont="1" applyFill="1" applyBorder="1"/>
    <xf numFmtId="10" fontId="14" fillId="17" borderId="14" xfId="0" applyNumberFormat="1" applyFont="1" applyFill="1" applyBorder="1"/>
    <xf numFmtId="37" fontId="13" fillId="17" borderId="13" xfId="0" applyNumberFormat="1" applyFont="1" applyFill="1" applyBorder="1"/>
    <xf numFmtId="10" fontId="13" fillId="17" borderId="14" xfId="0" applyNumberFormat="1" applyFont="1" applyFill="1" applyBorder="1"/>
    <xf numFmtId="0" fontId="14" fillId="17" borderId="17" xfId="0" applyFont="1" applyFill="1" applyBorder="1"/>
    <xf numFmtId="0" fontId="13" fillId="17" borderId="18" xfId="0" applyFont="1" applyFill="1" applyBorder="1"/>
    <xf numFmtId="38" fontId="14" fillId="17" borderId="13" xfId="0" applyNumberFormat="1" applyFont="1" applyFill="1" applyBorder="1"/>
    <xf numFmtId="38" fontId="13" fillId="17" borderId="13" xfId="0" applyNumberFormat="1" applyFont="1" applyFill="1" applyBorder="1"/>
    <xf numFmtId="0" fontId="13" fillId="17" borderId="8" xfId="0" applyFont="1" applyFill="1" applyBorder="1"/>
    <xf numFmtId="165" fontId="5" fillId="3" borderId="28" xfId="0" applyNumberFormat="1" applyFont="1" applyFill="1" applyBorder="1" applyAlignment="1">
      <alignment horizontal="center" vertical="center" wrapText="1"/>
    </xf>
    <xf numFmtId="0" fontId="5" fillId="3" borderId="28" xfId="0" applyFont="1" applyFill="1" applyBorder="1" applyAlignment="1">
      <alignment horizontal="center" vertical="center" wrapText="1"/>
    </xf>
    <xf numFmtId="0" fontId="5" fillId="15" borderId="4" xfId="0" applyFont="1" applyFill="1" applyBorder="1"/>
    <xf numFmtId="0" fontId="5" fillId="15" borderId="4" xfId="0" applyFont="1" applyFill="1" applyBorder="1" applyAlignment="1"/>
    <xf numFmtId="0" fontId="15" fillId="15" borderId="4" xfId="0" applyFont="1" applyFill="1" applyBorder="1"/>
    <xf numFmtId="0" fontId="15" fillId="15" borderId="4" xfId="0" applyFont="1" applyFill="1" applyBorder="1" applyAlignment="1">
      <alignment horizontal="center"/>
    </xf>
    <xf numFmtId="0" fontId="4" fillId="2" borderId="6" xfId="0" applyFont="1" applyFill="1" applyBorder="1"/>
    <xf numFmtId="2" fontId="4" fillId="18" borderId="11" xfId="0" applyNumberFormat="1" applyFont="1" applyFill="1" applyBorder="1"/>
    <xf numFmtId="2" fontId="4" fillId="18" borderId="1" xfId="0" applyNumberFormat="1" applyFont="1" applyFill="1" applyBorder="1"/>
    <xf numFmtId="2" fontId="4" fillId="18" borderId="12" xfId="0" applyNumberFormat="1" applyFont="1" applyFill="1" applyBorder="1"/>
    <xf numFmtId="0" fontId="4" fillId="2" borderId="3" xfId="0" applyFont="1" applyFill="1" applyBorder="1" applyAlignment="1"/>
    <xf numFmtId="2" fontId="4" fillId="18" borderId="17" xfId="0" applyNumberFormat="1" applyFont="1" applyFill="1" applyBorder="1"/>
    <xf numFmtId="2" fontId="4" fillId="18" borderId="18" xfId="0" applyNumberFormat="1" applyFont="1" applyFill="1" applyBorder="1" applyAlignment="1"/>
    <xf numFmtId="0" fontId="17" fillId="2" borderId="4" xfId="0" applyFont="1" applyFill="1" applyBorder="1"/>
    <xf numFmtId="0" fontId="17" fillId="2" borderId="6" xfId="0" applyFont="1" applyFill="1" applyBorder="1"/>
    <xf numFmtId="2" fontId="4" fillId="18" borderId="13" xfId="0" applyNumberFormat="1" applyFont="1" applyFill="1" applyBorder="1"/>
    <xf numFmtId="2" fontId="4" fillId="18" borderId="0" xfId="0" applyNumberFormat="1" applyFont="1" applyFill="1" applyBorder="1"/>
    <xf numFmtId="2" fontId="4" fillId="18" borderId="14" xfId="0" applyNumberFormat="1" applyFont="1" applyFill="1" applyBorder="1"/>
    <xf numFmtId="1" fontId="4" fillId="18" borderId="0" xfId="0" applyNumberFormat="1" applyFont="1" applyFill="1" applyBorder="1"/>
    <xf numFmtId="1" fontId="4" fillId="18" borderId="14" xfId="0" applyNumberFormat="1" applyFont="1" applyFill="1" applyBorder="1"/>
    <xf numFmtId="0" fontId="17" fillId="2" borderId="3" xfId="0" applyFont="1" applyFill="1" applyBorder="1" applyAlignment="1"/>
    <xf numFmtId="10" fontId="4" fillId="18" borderId="11" xfId="0" applyNumberFormat="1" applyFont="1" applyFill="1" applyBorder="1"/>
    <xf numFmtId="10" fontId="4" fillId="18" borderId="1" xfId="0" applyNumberFormat="1" applyFont="1" applyFill="1" applyBorder="1"/>
    <xf numFmtId="10" fontId="4" fillId="18" borderId="12" xfId="0" applyNumberFormat="1" applyFont="1" applyFill="1" applyBorder="1"/>
    <xf numFmtId="10" fontId="4" fillId="18" borderId="13" xfId="0" applyNumberFormat="1" applyFont="1" applyFill="1" applyBorder="1"/>
    <xf numFmtId="10" fontId="4" fillId="18" borderId="0" xfId="0" applyNumberFormat="1" applyFont="1" applyFill="1" applyBorder="1"/>
    <xf numFmtId="10" fontId="4" fillId="18" borderId="14" xfId="0" applyNumberFormat="1" applyFont="1" applyFill="1" applyBorder="1"/>
    <xf numFmtId="10" fontId="4" fillId="18" borderId="17" xfId="0" applyNumberFormat="1" applyFont="1" applyFill="1" applyBorder="1"/>
    <xf numFmtId="10" fontId="4" fillId="18" borderId="18" xfId="0" applyNumberFormat="1" applyFont="1" applyFill="1" applyBorder="1" applyAlignment="1"/>
    <xf numFmtId="2" fontId="4" fillId="18" borderId="9" xfId="0" applyNumberFormat="1" applyFont="1" applyFill="1" applyBorder="1"/>
    <xf numFmtId="2" fontId="4" fillId="18" borderId="18" xfId="0" applyNumberFormat="1" applyFont="1" applyFill="1" applyBorder="1"/>
    <xf numFmtId="0" fontId="4" fillId="18" borderId="1" xfId="0" applyFont="1" applyFill="1" applyBorder="1"/>
    <xf numFmtId="0" fontId="4" fillId="18" borderId="12" xfId="0" applyFont="1" applyFill="1" applyBorder="1"/>
    <xf numFmtId="0" fontId="4" fillId="2" borderId="3" xfId="0" applyFont="1" applyFill="1" applyBorder="1"/>
    <xf numFmtId="0" fontId="4" fillId="18" borderId="9" xfId="0" applyFont="1" applyFill="1" applyBorder="1"/>
    <xf numFmtId="0" fontId="4" fillId="18" borderId="18" xfId="0" applyFont="1" applyFill="1" applyBorder="1"/>
    <xf numFmtId="0" fontId="4" fillId="18" borderId="0" xfId="0" applyFont="1" applyFill="1" applyBorder="1"/>
    <xf numFmtId="0" fontId="4" fillId="18" borderId="14" xfId="0" applyFont="1" applyFill="1" applyBorder="1"/>
    <xf numFmtId="0" fontId="17" fillId="2" borderId="3" xfId="0" applyFont="1" applyFill="1" applyBorder="1"/>
    <xf numFmtId="10" fontId="4" fillId="18" borderId="9" xfId="0" applyNumberFormat="1" applyFont="1" applyFill="1" applyBorder="1"/>
    <xf numFmtId="2" fontId="4" fillId="0" borderId="0" xfId="0" applyNumberFormat="1" applyFont="1"/>
    <xf numFmtId="0" fontId="0" fillId="0" borderId="0" xfId="0" applyFont="1"/>
    <xf numFmtId="0" fontId="4" fillId="16" borderId="4" xfId="0" applyFont="1" applyFill="1" applyBorder="1"/>
    <xf numFmtId="0" fontId="15" fillId="16" borderId="4" xfId="0" applyFont="1" applyFill="1" applyBorder="1" applyAlignment="1">
      <alignment horizontal="center"/>
    </xf>
    <xf numFmtId="0" fontId="15" fillId="16" borderId="6" xfId="0" applyFont="1" applyFill="1" applyBorder="1"/>
    <xf numFmtId="38" fontId="4" fillId="18" borderId="11" xfId="0" applyNumberFormat="1" applyFont="1" applyFill="1" applyBorder="1" applyAlignment="1">
      <alignment horizontal="center"/>
    </xf>
    <xf numFmtId="38" fontId="4" fillId="18" borderId="1" xfId="0" applyNumberFormat="1" applyFont="1" applyFill="1" applyBorder="1" applyAlignment="1">
      <alignment horizontal="center"/>
    </xf>
    <xf numFmtId="38" fontId="4" fillId="18" borderId="12" xfId="0" applyNumberFormat="1" applyFont="1" applyFill="1" applyBorder="1" applyAlignment="1">
      <alignment horizontal="center"/>
    </xf>
    <xf numFmtId="0" fontId="18" fillId="16" borderId="6" xfId="0" applyFont="1" applyFill="1" applyBorder="1"/>
    <xf numFmtId="38" fontId="4" fillId="18" borderId="13" xfId="0" applyNumberFormat="1" applyFont="1" applyFill="1" applyBorder="1" applyAlignment="1">
      <alignment horizontal="center"/>
    </xf>
    <xf numFmtId="38" fontId="4" fillId="18" borderId="0" xfId="0" applyNumberFormat="1" applyFont="1" applyFill="1" applyBorder="1" applyAlignment="1">
      <alignment horizontal="center"/>
    </xf>
    <xf numFmtId="38" fontId="4" fillId="18" borderId="14" xfId="0" applyNumberFormat="1" applyFont="1" applyFill="1" applyBorder="1" applyAlignment="1">
      <alignment horizontal="center"/>
    </xf>
    <xf numFmtId="3" fontId="4" fillId="18" borderId="14" xfId="0" applyNumberFormat="1" applyFont="1" applyFill="1" applyBorder="1" applyAlignment="1">
      <alignment horizontal="center" wrapText="1"/>
    </xf>
    <xf numFmtId="3" fontId="0" fillId="0" borderId="0" xfId="0" applyNumberFormat="1" applyFont="1" applyAlignment="1">
      <alignment wrapText="1"/>
    </xf>
    <xf numFmtId="38" fontId="15" fillId="18" borderId="15" xfId="0" applyNumberFormat="1" applyFont="1" applyFill="1" applyBorder="1" applyAlignment="1">
      <alignment horizontal="center"/>
    </xf>
    <xf numFmtId="38" fontId="15" fillId="18" borderId="2" xfId="0" applyNumberFormat="1" applyFont="1" applyFill="1" applyBorder="1" applyAlignment="1">
      <alignment horizontal="center"/>
    </xf>
    <xf numFmtId="38" fontId="15" fillId="18" borderId="16" xfId="0" applyNumberFormat="1" applyFont="1" applyFill="1" applyBorder="1" applyAlignment="1">
      <alignment horizontal="center"/>
    </xf>
    <xf numFmtId="38" fontId="15" fillId="18" borderId="10" xfId="0" applyNumberFormat="1" applyFont="1" applyFill="1" applyBorder="1" applyAlignment="1">
      <alignment horizontal="center"/>
    </xf>
    <xf numFmtId="38" fontId="15" fillId="18" borderId="7" xfId="0" applyNumberFormat="1" applyFont="1" applyFill="1" applyBorder="1" applyAlignment="1">
      <alignment horizontal="center"/>
    </xf>
    <xf numFmtId="38" fontId="15" fillId="18" borderId="8" xfId="0" applyNumberFormat="1" applyFont="1" applyFill="1" applyBorder="1" applyAlignment="1">
      <alignment horizontal="center"/>
    </xf>
    <xf numFmtId="38" fontId="4" fillId="0" borderId="0" xfId="0" applyNumberFormat="1" applyFont="1" applyAlignment="1">
      <alignment horizontal="center"/>
    </xf>
    <xf numFmtId="38" fontId="4" fillId="17" borderId="11" xfId="0" applyNumberFormat="1" applyFont="1" applyFill="1" applyBorder="1" applyAlignment="1">
      <alignment horizontal="center"/>
    </xf>
    <xf numFmtId="38" fontId="4" fillId="17" borderId="1" xfId="0" applyNumberFormat="1" applyFont="1" applyFill="1" applyBorder="1" applyAlignment="1">
      <alignment horizontal="center"/>
    </xf>
    <xf numFmtId="38" fontId="4" fillId="17" borderId="12" xfId="0" applyNumberFormat="1" applyFont="1" applyFill="1" applyBorder="1" applyAlignment="1">
      <alignment horizontal="center"/>
    </xf>
    <xf numFmtId="40" fontId="4" fillId="17" borderId="13" xfId="0" applyNumberFormat="1" applyFont="1" applyFill="1" applyBorder="1" applyAlignment="1">
      <alignment horizontal="center"/>
    </xf>
    <xf numFmtId="40" fontId="4" fillId="17" borderId="0" xfId="0" applyNumberFormat="1" applyFont="1" applyFill="1" applyBorder="1" applyAlignment="1">
      <alignment horizontal="center"/>
    </xf>
    <xf numFmtId="40" fontId="4" fillId="17" borderId="14" xfId="0" applyNumberFormat="1" applyFont="1" applyFill="1" applyBorder="1" applyAlignment="1">
      <alignment horizontal="center"/>
    </xf>
    <xf numFmtId="3" fontId="4" fillId="17" borderId="17" xfId="0" applyNumberFormat="1" applyFont="1" applyFill="1" applyBorder="1" applyAlignment="1">
      <alignment horizontal="center"/>
    </xf>
    <xf numFmtId="38" fontId="4" fillId="17" borderId="9" xfId="0" applyNumberFormat="1" applyFont="1" applyFill="1" applyBorder="1" applyAlignment="1">
      <alignment horizontal="center"/>
    </xf>
    <xf numFmtId="38" fontId="4" fillId="17" borderId="18" xfId="0" applyNumberFormat="1" applyFont="1" applyFill="1" applyBorder="1" applyAlignment="1">
      <alignment horizontal="center"/>
    </xf>
    <xf numFmtId="38" fontId="0" fillId="0" borderId="0" xfId="0" applyNumberFormat="1" applyFont="1"/>
    <xf numFmtId="38" fontId="4" fillId="0" borderId="0" xfId="0" applyNumberFormat="1" applyFont="1"/>
    <xf numFmtId="0" fontId="15" fillId="16" borderId="4" xfId="0" applyFont="1" applyFill="1" applyBorder="1"/>
    <xf numFmtId="38" fontId="4" fillId="18" borderId="11" xfId="0" applyNumberFormat="1" applyFont="1" applyFill="1" applyBorder="1"/>
    <xf numFmtId="38" fontId="4" fillId="18" borderId="1" xfId="0" applyNumberFormat="1" applyFont="1" applyFill="1" applyBorder="1"/>
    <xf numFmtId="38" fontId="4" fillId="18" borderId="12" xfId="0" applyNumberFormat="1" applyFont="1" applyFill="1" applyBorder="1"/>
    <xf numFmtId="0" fontId="19" fillId="16" borderId="6" xfId="0" applyFont="1" applyFill="1" applyBorder="1"/>
    <xf numFmtId="10" fontId="19" fillId="18" borderId="13" xfId="0" applyNumberFormat="1" applyFont="1" applyFill="1" applyBorder="1"/>
    <xf numFmtId="10" fontId="19" fillId="18" borderId="0" xfId="0" applyNumberFormat="1" applyFont="1" applyFill="1" applyBorder="1"/>
    <xf numFmtId="10" fontId="19" fillId="18" borderId="14" xfId="0" applyNumberFormat="1" applyFont="1" applyFill="1" applyBorder="1"/>
    <xf numFmtId="38" fontId="4" fillId="18" borderId="13" xfId="0" applyNumberFormat="1" applyFont="1" applyFill="1" applyBorder="1"/>
    <xf numFmtId="38" fontId="4" fillId="18" borderId="0" xfId="0" applyNumberFormat="1" applyFont="1" applyFill="1" applyBorder="1"/>
    <xf numFmtId="38" fontId="4" fillId="18" borderId="14" xfId="0" applyNumberFormat="1" applyFont="1" applyFill="1" applyBorder="1"/>
    <xf numFmtId="38" fontId="15" fillId="18" borderId="10" xfId="0" applyNumberFormat="1" applyFont="1" applyFill="1" applyBorder="1"/>
    <xf numFmtId="38" fontId="15" fillId="18" borderId="7" xfId="0" applyNumberFormat="1" applyFont="1" applyFill="1" applyBorder="1"/>
    <xf numFmtId="38" fontId="15" fillId="18" borderId="8" xfId="0" applyNumberFormat="1" applyFont="1" applyFill="1" applyBorder="1"/>
    <xf numFmtId="38" fontId="15" fillId="18" borderId="11" xfId="0" applyNumberFormat="1" applyFont="1" applyFill="1" applyBorder="1" applyAlignment="1">
      <alignment horizontal="center"/>
    </xf>
    <xf numFmtId="38" fontId="15" fillId="18" borderId="1" xfId="0" applyNumberFormat="1" applyFont="1" applyFill="1" applyBorder="1" applyAlignment="1">
      <alignment horizontal="center"/>
    </xf>
    <xf numFmtId="38" fontId="15" fillId="18" borderId="12" xfId="0" applyNumberFormat="1" applyFont="1" applyFill="1" applyBorder="1" applyAlignment="1">
      <alignment horizontal="center"/>
    </xf>
    <xf numFmtId="38" fontId="15" fillId="18" borderId="13" xfId="0" applyNumberFormat="1" applyFont="1" applyFill="1" applyBorder="1" applyAlignment="1">
      <alignment horizontal="center"/>
    </xf>
    <xf numFmtId="38" fontId="15" fillId="18" borderId="0" xfId="0" applyNumberFormat="1" applyFont="1" applyFill="1" applyBorder="1" applyAlignment="1">
      <alignment horizontal="center"/>
    </xf>
    <xf numFmtId="38" fontId="15" fillId="18" borderId="14" xfId="0" applyNumberFormat="1" applyFont="1" applyFill="1" applyBorder="1" applyAlignment="1">
      <alignment horizontal="center"/>
    </xf>
    <xf numFmtId="166" fontId="7" fillId="17" borderId="0" xfId="1" applyNumberFormat="1" applyFont="1" applyFill="1" applyBorder="1" applyAlignment="1">
      <alignment horizontal="center"/>
    </xf>
    <xf numFmtId="10" fontId="7" fillId="17" borderId="12" xfId="3" applyNumberFormat="1" applyFont="1" applyFill="1" applyBorder="1" applyAlignment="1">
      <alignment horizontal="center"/>
    </xf>
    <xf numFmtId="10" fontId="7" fillId="17" borderId="14" xfId="3" applyNumberFormat="1" applyFont="1" applyFill="1" applyBorder="1" applyAlignment="1">
      <alignment horizontal="center"/>
    </xf>
    <xf numFmtId="0" fontId="7" fillId="16" borderId="10" xfId="0" applyFont="1" applyFill="1" applyBorder="1"/>
    <xf numFmtId="0" fontId="5" fillId="15" borderId="5" xfId="0" applyFont="1" applyFill="1" applyBorder="1" applyAlignment="1"/>
    <xf numFmtId="166" fontId="7" fillId="17" borderId="11" xfId="1" applyNumberFormat="1" applyFont="1" applyFill="1" applyBorder="1" applyAlignment="1">
      <alignment horizontal="center"/>
    </xf>
    <xf numFmtId="166" fontId="7" fillId="17" borderId="1" xfId="1" applyNumberFormat="1" applyFont="1" applyFill="1" applyBorder="1" applyAlignment="1">
      <alignment horizontal="center"/>
    </xf>
    <xf numFmtId="166" fontId="7" fillId="17" borderId="13" xfId="1" applyNumberFormat="1" applyFont="1" applyFill="1" applyBorder="1" applyAlignment="1">
      <alignment horizontal="center"/>
    </xf>
    <xf numFmtId="10" fontId="5" fillId="17" borderId="12" xfId="3" applyNumberFormat="1" applyFont="1" applyFill="1" applyBorder="1" applyAlignment="1">
      <alignment horizontal="center"/>
    </xf>
    <xf numFmtId="10" fontId="5" fillId="17" borderId="14" xfId="3" applyNumberFormat="1" applyFont="1" applyFill="1" applyBorder="1" applyAlignment="1">
      <alignment horizontal="center"/>
    </xf>
    <xf numFmtId="0" fontId="5" fillId="9" borderId="10" xfId="0" applyFont="1" applyFill="1" applyBorder="1"/>
    <xf numFmtId="38" fontId="7" fillId="18" borderId="10" xfId="0" applyNumberFormat="1" applyFont="1" applyFill="1" applyBorder="1"/>
    <xf numFmtId="38" fontId="7" fillId="18" borderId="7" xfId="0" applyNumberFormat="1" applyFont="1" applyFill="1" applyBorder="1"/>
    <xf numFmtId="10" fontId="5" fillId="18" borderId="8" xfId="3" applyNumberFormat="1" applyFont="1" applyFill="1" applyBorder="1" applyAlignment="1">
      <alignment horizontal="center"/>
    </xf>
    <xf numFmtId="0" fontId="4" fillId="16" borderId="10" xfId="0" applyFont="1" applyFill="1" applyBorder="1"/>
    <xf numFmtId="0" fontId="15" fillId="16" borderId="10" xfId="0" applyFont="1" applyFill="1" applyBorder="1"/>
    <xf numFmtId="0" fontId="15" fillId="16" borderId="3" xfId="0" applyFont="1" applyFill="1" applyBorder="1"/>
    <xf numFmtId="38" fontId="15" fillId="18" borderId="18" xfId="0" applyNumberFormat="1" applyFont="1" applyFill="1" applyBorder="1"/>
    <xf numFmtId="38" fontId="4" fillId="18" borderId="8" xfId="0" applyNumberFormat="1" applyFont="1" applyFill="1" applyBorder="1"/>
    <xf numFmtId="38" fontId="15" fillId="20" borderId="14" xfId="0" applyNumberFormat="1" applyFont="1" applyFill="1" applyBorder="1"/>
    <xf numFmtId="38" fontId="15" fillId="18" borderId="12" xfId="0" applyNumberFormat="1" applyFont="1" applyFill="1" applyBorder="1"/>
    <xf numFmtId="38" fontId="20" fillId="18" borderId="14" xfId="0" applyNumberFormat="1" applyFont="1" applyFill="1" applyBorder="1"/>
    <xf numFmtId="38" fontId="4" fillId="18" borderId="16" xfId="0" applyNumberFormat="1" applyFont="1" applyFill="1" applyBorder="1"/>
    <xf numFmtId="0" fontId="19" fillId="0" borderId="0" xfId="0" applyFont="1"/>
    <xf numFmtId="167" fontId="4" fillId="0" borderId="0" xfId="0" applyNumberFormat="1" applyFont="1"/>
    <xf numFmtId="0" fontId="15" fillId="16" borderId="12" xfId="0" applyFont="1" applyFill="1" applyBorder="1"/>
    <xf numFmtId="0" fontId="15" fillId="16" borderId="29" xfId="0" applyFont="1" applyFill="1" applyBorder="1"/>
    <xf numFmtId="38" fontId="4" fillId="18" borderId="3" xfId="0" applyNumberFormat="1" applyFont="1" applyFill="1" applyBorder="1"/>
    <xf numFmtId="38" fontId="4" fillId="18" borderId="5" xfId="0" applyNumberFormat="1" applyFont="1" applyFill="1" applyBorder="1"/>
    <xf numFmtId="38" fontId="4" fillId="18" borderId="6" xfId="0" applyNumberFormat="1" applyFont="1" applyFill="1" applyBorder="1"/>
    <xf numFmtId="38" fontId="15" fillId="20" borderId="5" xfId="0" applyNumberFormat="1" applyFont="1" applyFill="1" applyBorder="1"/>
    <xf numFmtId="38" fontId="15" fillId="18" borderId="3" xfId="0" applyNumberFormat="1" applyFont="1" applyFill="1" applyBorder="1"/>
    <xf numFmtId="38" fontId="4" fillId="18" borderId="30" xfId="0" applyNumberFormat="1" applyFont="1" applyFill="1" applyBorder="1"/>
    <xf numFmtId="38" fontId="20" fillId="18" borderId="5" xfId="0" applyNumberFormat="1" applyFont="1" applyFill="1" applyBorder="1"/>
    <xf numFmtId="38" fontId="15" fillId="18" borderId="4" xfId="0" applyNumberFormat="1" applyFont="1" applyFill="1" applyBorder="1"/>
    <xf numFmtId="38" fontId="4" fillId="18" borderId="3" xfId="0" applyNumberFormat="1" applyFont="1" applyFill="1" applyBorder="1" applyAlignment="1">
      <alignment horizontal="center"/>
    </xf>
    <xf numFmtId="38" fontId="4" fillId="18" borderId="5" xfId="0" applyNumberFormat="1" applyFont="1" applyFill="1" applyBorder="1" applyAlignment="1">
      <alignment horizontal="center"/>
    </xf>
    <xf numFmtId="38" fontId="15" fillId="18" borderId="3" xfId="0" applyNumberFormat="1" applyFont="1" applyFill="1" applyBorder="1" applyAlignment="1">
      <alignment horizontal="center"/>
    </xf>
    <xf numFmtId="3" fontId="4" fillId="18" borderId="5" xfId="0" applyNumberFormat="1" applyFont="1" applyFill="1" applyBorder="1" applyAlignment="1">
      <alignment horizontal="center" wrapText="1"/>
    </xf>
    <xf numFmtId="38" fontId="15" fillId="18" borderId="30" xfId="0" applyNumberFormat="1" applyFont="1" applyFill="1" applyBorder="1" applyAlignment="1">
      <alignment horizontal="center"/>
    </xf>
    <xf numFmtId="38" fontId="15" fillId="18" borderId="5" xfId="0" applyNumberFormat="1" applyFont="1" applyFill="1" applyBorder="1" applyAlignment="1">
      <alignment horizontal="center"/>
    </xf>
    <xf numFmtId="38" fontId="15" fillId="18" borderId="6" xfId="0" applyNumberFormat="1" applyFont="1" applyFill="1" applyBorder="1" applyAlignment="1">
      <alignment horizontal="center"/>
    </xf>
    <xf numFmtId="10" fontId="19" fillId="18" borderId="5" xfId="0" applyNumberFormat="1" applyFont="1" applyFill="1" applyBorder="1"/>
    <xf numFmtId="38" fontId="15" fillId="18" borderId="6" xfId="0" applyNumberFormat="1" applyFont="1" applyFill="1" applyBorder="1"/>
    <xf numFmtId="2" fontId="4" fillId="18" borderId="3" xfId="0" applyNumberFormat="1" applyFont="1" applyFill="1" applyBorder="1"/>
    <xf numFmtId="2" fontId="4" fillId="18" borderId="4" xfId="0" applyNumberFormat="1" applyFont="1" applyFill="1" applyBorder="1"/>
    <xf numFmtId="10" fontId="4" fillId="18" borderId="3" xfId="0" applyNumberFormat="1" applyFont="1" applyFill="1" applyBorder="1"/>
    <xf numFmtId="10" fontId="4" fillId="18" borderId="5" xfId="0" applyNumberFormat="1" applyFont="1" applyFill="1" applyBorder="1"/>
    <xf numFmtId="2" fontId="4" fillId="18" borderId="5" xfId="0" applyNumberFormat="1" applyFont="1" applyFill="1" applyBorder="1"/>
    <xf numFmtId="10" fontId="4" fillId="18" borderId="4" xfId="0" applyNumberFormat="1" applyFont="1" applyFill="1" applyBorder="1"/>
    <xf numFmtId="1" fontId="4" fillId="18" borderId="5" xfId="0" applyNumberFormat="1" applyFont="1" applyFill="1" applyBorder="1"/>
    <xf numFmtId="0" fontId="4" fillId="18" borderId="3" xfId="0" applyFont="1" applyFill="1" applyBorder="1"/>
    <xf numFmtId="0" fontId="4" fillId="18" borderId="4" xfId="0" applyFont="1" applyFill="1" applyBorder="1"/>
    <xf numFmtId="0" fontId="4" fillId="18" borderId="5" xfId="0" applyFont="1" applyFill="1" applyBorder="1"/>
    <xf numFmtId="10" fontId="4" fillId="18" borderId="4" xfId="0" applyNumberFormat="1" applyFont="1" applyFill="1" applyBorder="1" applyAlignment="1"/>
    <xf numFmtId="2" fontId="4" fillId="18" borderId="4" xfId="0" applyNumberFormat="1" applyFont="1" applyFill="1" applyBorder="1" applyAlignment="1"/>
    <xf numFmtId="38" fontId="7" fillId="18" borderId="3" xfId="0" applyNumberFormat="1" applyFont="1" applyFill="1" applyBorder="1" applyAlignment="1">
      <alignment horizontal="center"/>
    </xf>
    <xf numFmtId="38" fontId="7" fillId="18" borderId="5" xfId="0" applyNumberFormat="1" applyFont="1" applyFill="1" applyBorder="1" applyAlignment="1">
      <alignment horizontal="center"/>
    </xf>
    <xf numFmtId="164" fontId="7" fillId="18" borderId="5" xfId="0" applyNumberFormat="1" applyFont="1" applyFill="1" applyBorder="1" applyAlignment="1">
      <alignment horizontal="center"/>
    </xf>
    <xf numFmtId="38" fontId="5" fillId="18" borderId="6" xfId="0" applyNumberFormat="1" applyFont="1" applyFill="1" applyBorder="1" applyAlignment="1">
      <alignment horizontal="center"/>
    </xf>
    <xf numFmtId="38" fontId="7" fillId="18" borderId="3" xfId="1" applyNumberFormat="1" applyFont="1" applyFill="1" applyBorder="1" applyAlignment="1">
      <alignment horizontal="center" wrapText="1"/>
    </xf>
    <xf numFmtId="38" fontId="7" fillId="18" borderId="5" xfId="1" applyNumberFormat="1" applyFont="1" applyFill="1" applyBorder="1" applyAlignment="1">
      <alignment horizontal="center" wrapText="1"/>
    </xf>
    <xf numFmtId="38" fontId="7" fillId="18" borderId="3" xfId="1" applyNumberFormat="1" applyFont="1" applyFill="1" applyBorder="1" applyAlignment="1">
      <alignment horizontal="center"/>
    </xf>
    <xf numFmtId="38" fontId="7" fillId="18" borderId="5" xfId="1" applyNumberFormat="1" applyFont="1" applyFill="1" applyBorder="1" applyAlignment="1">
      <alignment horizontal="center"/>
    </xf>
    <xf numFmtId="38" fontId="5" fillId="18" borderId="6" xfId="1" applyNumberFormat="1" applyFont="1" applyFill="1" applyBorder="1" applyAlignment="1">
      <alignment horizontal="center"/>
    </xf>
    <xf numFmtId="38" fontId="7" fillId="17" borderId="3" xfId="0" applyNumberFormat="1" applyFont="1" applyFill="1" applyBorder="1" applyAlignment="1">
      <alignment horizontal="center"/>
    </xf>
    <xf numFmtId="38" fontId="7" fillId="17" borderId="4" xfId="0" applyNumberFormat="1" applyFont="1" applyFill="1" applyBorder="1" applyAlignment="1">
      <alignment horizontal="center"/>
    </xf>
    <xf numFmtId="10" fontId="14" fillId="17" borderId="3" xfId="0" applyNumberFormat="1" applyFont="1" applyFill="1" applyBorder="1"/>
    <xf numFmtId="10" fontId="14" fillId="17" borderId="5" xfId="0" applyNumberFormat="1" applyFont="1" applyFill="1" applyBorder="1"/>
    <xf numFmtId="0" fontId="14" fillId="17" borderId="5" xfId="0" applyFont="1" applyFill="1" applyBorder="1" applyAlignment="1">
      <alignment horizontal="center"/>
    </xf>
    <xf numFmtId="0" fontId="14" fillId="17" borderId="4" xfId="0" applyFont="1" applyFill="1" applyBorder="1"/>
    <xf numFmtId="10" fontId="14" fillId="17" borderId="5" xfId="0" applyNumberFormat="1" applyFont="1" applyFill="1" applyBorder="1" applyAlignment="1">
      <alignment horizontal="center"/>
    </xf>
    <xf numFmtId="37" fontId="13" fillId="17" borderId="6" xfId="0" applyNumberFormat="1" applyFont="1" applyFill="1" applyBorder="1"/>
    <xf numFmtId="38" fontId="4" fillId="17" borderId="3" xfId="0" applyNumberFormat="1" applyFont="1" applyFill="1" applyBorder="1" applyAlignment="1">
      <alignment horizontal="center"/>
    </xf>
    <xf numFmtId="40" fontId="4" fillId="17" borderId="5" xfId="0" applyNumberFormat="1" applyFont="1" applyFill="1" applyBorder="1" applyAlignment="1">
      <alignment horizontal="center"/>
    </xf>
    <xf numFmtId="38" fontId="4" fillId="17" borderId="4" xfId="0" applyNumberFormat="1" applyFont="1" applyFill="1" applyBorder="1" applyAlignment="1">
      <alignment horizontal="center"/>
    </xf>
    <xf numFmtId="0" fontId="5" fillId="15" borderId="13" xfId="0" applyFont="1" applyFill="1" applyBorder="1" applyAlignment="1"/>
    <xf numFmtId="0" fontId="5" fillId="15" borderId="14" xfId="0" applyFont="1" applyFill="1" applyBorder="1" applyAlignment="1"/>
    <xf numFmtId="166" fontId="7" fillId="17" borderId="3" xfId="1" applyNumberFormat="1" applyFont="1" applyFill="1" applyBorder="1" applyAlignment="1">
      <alignment horizontal="center"/>
    </xf>
    <xf numFmtId="166" fontId="7" fillId="17" borderId="5" xfId="1" applyNumberFormat="1" applyFont="1" applyFill="1" applyBorder="1" applyAlignment="1">
      <alignment horizontal="center"/>
    </xf>
    <xf numFmtId="38" fontId="7" fillId="18" borderId="6" xfId="0" applyNumberFormat="1" applyFont="1" applyFill="1" applyBorder="1"/>
    <xf numFmtId="10" fontId="7" fillId="17" borderId="3" xfId="3" applyNumberFormat="1" applyFont="1" applyFill="1" applyBorder="1" applyAlignment="1">
      <alignment horizontal="center"/>
    </xf>
    <xf numFmtId="10" fontId="7" fillId="17" borderId="5" xfId="3" applyNumberFormat="1" applyFont="1" applyFill="1" applyBorder="1" applyAlignment="1">
      <alignment horizontal="center"/>
    </xf>
    <xf numFmtId="10" fontId="7" fillId="17" borderId="5" xfId="0" applyNumberFormat="1" applyFont="1" applyFill="1" applyBorder="1" applyAlignment="1">
      <alignment horizontal="center"/>
    </xf>
    <xf numFmtId="166" fontId="7" fillId="17" borderId="6" xfId="1" applyNumberFormat="1" applyFont="1" applyFill="1" applyBorder="1" applyAlignment="1">
      <alignment horizontal="center"/>
    </xf>
    <xf numFmtId="166" fontId="7" fillId="18" borderId="6" xfId="1" applyNumberFormat="1" applyFont="1" applyFill="1" applyBorder="1"/>
    <xf numFmtId="0" fontId="5" fillId="16" borderId="32" xfId="0" applyFont="1" applyFill="1" applyBorder="1" applyAlignment="1">
      <alignment horizontal="left"/>
    </xf>
    <xf numFmtId="0" fontId="7" fillId="11" borderId="31" xfId="0" applyFont="1" applyFill="1" applyBorder="1" applyAlignment="1">
      <alignment horizontal="left"/>
    </xf>
    <xf numFmtId="0" fontId="7" fillId="11" borderId="25" xfId="0" applyFont="1" applyFill="1" applyBorder="1" applyAlignment="1">
      <alignment horizontal="left"/>
    </xf>
    <xf numFmtId="0" fontId="5" fillId="16" borderId="33" xfId="0" applyFont="1" applyFill="1" applyBorder="1" applyAlignment="1">
      <alignment horizontal="left"/>
    </xf>
    <xf numFmtId="0" fontId="5" fillId="2" borderId="34" xfId="0" applyFont="1" applyFill="1" applyBorder="1" applyAlignment="1">
      <alignment horizontal="center"/>
    </xf>
    <xf numFmtId="0" fontId="5" fillId="2" borderId="35" xfId="0" applyFont="1" applyFill="1" applyBorder="1" applyAlignment="1">
      <alignment horizontal="center"/>
    </xf>
    <xf numFmtId="0" fontId="7" fillId="11" borderId="36" xfId="0" applyFont="1" applyFill="1" applyBorder="1" applyAlignment="1">
      <alignment horizontal="left"/>
    </xf>
    <xf numFmtId="0" fontId="7" fillId="11" borderId="37" xfId="0" applyFont="1" applyFill="1" applyBorder="1" applyAlignment="1">
      <alignment horizontal="left"/>
    </xf>
    <xf numFmtId="0" fontId="0" fillId="2" borderId="0" xfId="0" applyFill="1" applyAlignment="1"/>
    <xf numFmtId="0" fontId="0" fillId="2" borderId="0" xfId="0" applyFill="1"/>
    <xf numFmtId="0" fontId="0" fillId="2" borderId="0" xfId="0" applyFill="1" applyAlignment="1">
      <alignment horizontal="left"/>
    </xf>
    <xf numFmtId="0" fontId="0" fillId="2" borderId="0" xfId="0" applyFill="1" applyBorder="1"/>
    <xf numFmtId="0" fontId="0" fillId="21" borderId="0" xfId="0" applyFill="1"/>
    <xf numFmtId="0" fontId="5" fillId="2" borderId="0" xfId="0" applyFont="1" applyFill="1" applyBorder="1" applyAlignment="1">
      <alignment horizontal="left"/>
    </xf>
    <xf numFmtId="0" fontId="5" fillId="2" borderId="0" xfId="0" applyFont="1" applyFill="1" applyBorder="1" applyAlignment="1">
      <alignment horizontal="center"/>
    </xf>
    <xf numFmtId="0" fontId="7" fillId="2" borderId="0" xfId="0" applyFont="1" applyFill="1" applyBorder="1" applyAlignment="1">
      <alignment horizontal="left"/>
    </xf>
    <xf numFmtId="0" fontId="0" fillId="2" borderId="0" xfId="0" applyFill="1" applyBorder="1" applyAlignment="1">
      <alignment horizontal="left"/>
    </xf>
    <xf numFmtId="0" fontId="4" fillId="0" borderId="0" xfId="0" applyFont="1" applyBorder="1"/>
    <xf numFmtId="0" fontId="12" fillId="16" borderId="6" xfId="0" applyFont="1" applyFill="1" applyBorder="1"/>
    <xf numFmtId="38" fontId="7" fillId="17" borderId="5" xfId="0" applyNumberFormat="1" applyFont="1" applyFill="1" applyBorder="1" applyAlignment="1">
      <alignment horizontal="center"/>
    </xf>
    <xf numFmtId="0" fontId="7" fillId="0" borderId="0" xfId="0" quotePrefix="1" applyFont="1" applyAlignment="1">
      <alignment horizontal="center"/>
    </xf>
    <xf numFmtId="0" fontId="0" fillId="0" borderId="0" xfId="0"/>
    <xf numFmtId="10" fontId="4" fillId="18" borderId="5" xfId="3" applyNumberFormat="1" applyFont="1" applyFill="1" applyBorder="1" applyAlignment="1">
      <alignment horizontal="center"/>
    </xf>
    <xf numFmtId="14" fontId="7" fillId="16" borderId="10" xfId="0" applyNumberFormat="1" applyFont="1" applyFill="1" applyBorder="1"/>
    <xf numFmtId="0" fontId="15" fillId="15" borderId="6" xfId="0" applyFont="1" applyFill="1" applyBorder="1" applyAlignment="1"/>
    <xf numFmtId="43" fontId="7" fillId="17" borderId="3" xfId="1" applyNumberFormat="1" applyFont="1" applyFill="1" applyBorder="1" applyAlignment="1">
      <alignment horizontal="center"/>
    </xf>
    <xf numFmtId="43" fontId="7" fillId="17" borderId="5" xfId="1" applyNumberFormat="1" applyFont="1" applyFill="1" applyBorder="1" applyAlignment="1">
      <alignment horizontal="center"/>
    </xf>
    <xf numFmtId="10" fontId="4" fillId="18" borderId="3" xfId="3" applyNumberFormat="1" applyFont="1" applyFill="1" applyBorder="1" applyAlignment="1">
      <alignment horizontal="center"/>
    </xf>
    <xf numFmtId="0" fontId="15" fillId="9" borderId="10" xfId="0" applyFont="1" applyFill="1" applyBorder="1" applyAlignment="1">
      <alignment horizontal="center" vertical="center"/>
    </xf>
    <xf numFmtId="0" fontId="7" fillId="18" borderId="10" xfId="0" applyFont="1" applyFill="1" applyBorder="1"/>
    <xf numFmtId="0" fontId="7" fillId="18" borderId="7" xfId="0" applyFont="1" applyFill="1" applyBorder="1"/>
    <xf numFmtId="171" fontId="4" fillId="18" borderId="5" xfId="0" applyNumberFormat="1" applyFont="1" applyFill="1" applyBorder="1" applyAlignment="1">
      <alignment horizontal="center"/>
    </xf>
    <xf numFmtId="172" fontId="4" fillId="18" borderId="5" xfId="0" applyNumberFormat="1" applyFont="1" applyFill="1" applyBorder="1" applyAlignment="1">
      <alignment horizontal="center"/>
    </xf>
    <xf numFmtId="10" fontId="4" fillId="18" borderId="4" xfId="3" applyNumberFormat="1" applyFont="1" applyFill="1" applyBorder="1" applyAlignment="1">
      <alignment horizontal="center"/>
    </xf>
    <xf numFmtId="0" fontId="4" fillId="16" borderId="3" xfId="0" applyFont="1" applyFill="1" applyBorder="1"/>
    <xf numFmtId="0" fontId="5" fillId="9" borderId="19" xfId="0" applyFont="1" applyFill="1" applyBorder="1" applyAlignment="1">
      <alignment horizontal="center"/>
    </xf>
    <xf numFmtId="10" fontId="5" fillId="18" borderId="41" xfId="3" applyNumberFormat="1" applyFont="1" applyFill="1" applyBorder="1"/>
    <xf numFmtId="173" fontId="7" fillId="17" borderId="5" xfId="1" applyNumberFormat="1" applyFont="1" applyFill="1" applyBorder="1" applyAlignment="1">
      <alignment horizontal="right"/>
    </xf>
    <xf numFmtId="170" fontId="7" fillId="17" borderId="5" xfId="1" applyNumberFormat="1" applyFont="1" applyFill="1" applyBorder="1" applyAlignment="1">
      <alignment horizontal="right"/>
    </xf>
    <xf numFmtId="3" fontId="5" fillId="10" borderId="6" xfId="0" applyNumberFormat="1" applyFont="1" applyFill="1" applyBorder="1" applyAlignment="1">
      <alignment horizontal="center"/>
    </xf>
    <xf numFmtId="3" fontId="5" fillId="10" borderId="3" xfId="0" applyNumberFormat="1" applyFont="1" applyFill="1" applyBorder="1" applyAlignment="1">
      <alignment horizontal="center"/>
    </xf>
    <xf numFmtId="3" fontId="8" fillId="11" borderId="6" xfId="0" applyNumberFormat="1" applyFont="1" applyFill="1" applyBorder="1" applyAlignment="1">
      <alignment horizontal="center"/>
    </xf>
    <xf numFmtId="174" fontId="8" fillId="12" borderId="6" xfId="4" applyNumberFormat="1" applyFont="1" applyFill="1" applyBorder="1" applyAlignment="1">
      <alignment horizontal="center"/>
    </xf>
    <xf numFmtId="175" fontId="8" fillId="12" borderId="6" xfId="4" applyNumberFormat="1" applyFont="1" applyFill="1" applyBorder="1" applyAlignment="1">
      <alignment horizontal="center"/>
    </xf>
    <xf numFmtId="10" fontId="5" fillId="19" borderId="6" xfId="3" applyNumberFormat="1" applyFont="1" applyFill="1" applyBorder="1" applyAlignment="1">
      <alignment horizontal="center" vertical="center" wrapText="1"/>
    </xf>
    <xf numFmtId="0" fontId="8" fillId="12" borderId="6" xfId="0" applyNumberFormat="1" applyFont="1" applyFill="1" applyBorder="1" applyAlignment="1">
      <alignment horizontal="center"/>
    </xf>
    <xf numFmtId="10" fontId="5" fillId="17" borderId="43" xfId="3" applyNumberFormat="1" applyFont="1" applyFill="1" applyBorder="1" applyAlignment="1">
      <alignment horizontal="center" vertical="center"/>
    </xf>
    <xf numFmtId="0" fontId="5" fillId="16" borderId="6" xfId="0" applyFont="1" applyFill="1" applyBorder="1" applyAlignment="1">
      <alignment horizontal="center"/>
    </xf>
    <xf numFmtId="38" fontId="7" fillId="11" borderId="3" xfId="0" applyNumberFormat="1" applyFont="1" applyFill="1" applyBorder="1" applyAlignment="1">
      <alignment horizontal="center"/>
    </xf>
    <xf numFmtId="38" fontId="7" fillId="11" borderId="1" xfId="0" applyNumberFormat="1" applyFont="1" applyFill="1" applyBorder="1" applyAlignment="1">
      <alignment horizontal="center"/>
    </xf>
    <xf numFmtId="38" fontId="7" fillId="11" borderId="12" xfId="0" applyNumberFormat="1" applyFont="1" applyFill="1" applyBorder="1" applyAlignment="1">
      <alignment horizontal="center"/>
    </xf>
    <xf numFmtId="38" fontId="7" fillId="11" borderId="11" xfId="0" applyNumberFormat="1" applyFont="1" applyFill="1" applyBorder="1" applyAlignment="1">
      <alignment horizontal="center"/>
    </xf>
    <xf numFmtId="9" fontId="11" fillId="11" borderId="5" xfId="3" applyFont="1" applyFill="1" applyBorder="1" applyAlignment="1">
      <alignment horizontal="center"/>
    </xf>
    <xf numFmtId="9" fontId="11" fillId="11" borderId="0" xfId="3" applyFont="1" applyFill="1" applyBorder="1" applyAlignment="1">
      <alignment horizontal="center"/>
    </xf>
    <xf numFmtId="9" fontId="11" fillId="11" borderId="14" xfId="3" applyFont="1" applyFill="1" applyBorder="1" applyAlignment="1">
      <alignment horizontal="center"/>
    </xf>
    <xf numFmtId="9" fontId="11" fillId="11" borderId="13" xfId="3" applyFont="1" applyFill="1" applyBorder="1" applyAlignment="1">
      <alignment horizontal="center"/>
    </xf>
    <xf numFmtId="9" fontId="11" fillId="17" borderId="5" xfId="3" applyFont="1" applyFill="1" applyBorder="1" applyAlignment="1">
      <alignment horizontal="center"/>
    </xf>
    <xf numFmtId="9" fontId="11" fillId="17" borderId="0" xfId="3" applyFont="1" applyFill="1" applyBorder="1" applyAlignment="1">
      <alignment horizontal="center"/>
    </xf>
    <xf numFmtId="9" fontId="11" fillId="17" borderId="14" xfId="3" applyFont="1" applyFill="1" applyBorder="1" applyAlignment="1">
      <alignment horizontal="center"/>
    </xf>
    <xf numFmtId="38" fontId="7" fillId="11" borderId="5" xfId="0" applyNumberFormat="1" applyFont="1" applyFill="1" applyBorder="1" applyAlignment="1">
      <alignment horizontal="center"/>
    </xf>
    <xf numFmtId="38" fontId="7" fillId="11" borderId="0" xfId="0" applyNumberFormat="1" applyFont="1" applyFill="1" applyBorder="1" applyAlignment="1">
      <alignment horizontal="center"/>
    </xf>
    <xf numFmtId="38" fontId="7" fillId="11" borderId="14" xfId="0" applyNumberFormat="1" applyFont="1" applyFill="1" applyBorder="1" applyAlignment="1">
      <alignment horizontal="center"/>
    </xf>
    <xf numFmtId="38" fontId="7" fillId="11" borderId="13" xfId="0" applyNumberFormat="1" applyFont="1" applyFill="1" applyBorder="1" applyAlignment="1">
      <alignment horizontal="center"/>
    </xf>
    <xf numFmtId="38" fontId="7" fillId="17" borderId="0" xfId="0" applyNumberFormat="1" applyFont="1" applyFill="1" applyBorder="1" applyAlignment="1">
      <alignment horizontal="center"/>
    </xf>
    <xf numFmtId="38" fontId="7" fillId="17" borderId="14" xfId="0" applyNumberFormat="1" applyFont="1" applyFill="1" applyBorder="1" applyAlignment="1">
      <alignment horizontal="center"/>
    </xf>
    <xf numFmtId="0" fontId="11" fillId="0" borderId="0" xfId="0" applyFont="1"/>
    <xf numFmtId="0" fontId="11" fillId="16" borderId="10" xfId="0" applyFont="1" applyFill="1" applyBorder="1"/>
    <xf numFmtId="38" fontId="11" fillId="18" borderId="13" xfId="0" applyNumberFormat="1" applyFont="1" applyFill="1" applyBorder="1" applyAlignment="1">
      <alignment horizontal="center"/>
    </xf>
    <xf numFmtId="10" fontId="11" fillId="11" borderId="5" xfId="3" applyNumberFormat="1" applyFont="1" applyFill="1" applyBorder="1" applyAlignment="1">
      <alignment horizontal="center"/>
    </xf>
    <xf numFmtId="10" fontId="11" fillId="17" borderId="5" xfId="3" applyNumberFormat="1" applyFont="1" applyFill="1" applyBorder="1" applyAlignment="1">
      <alignment horizontal="center"/>
    </xf>
    <xf numFmtId="0" fontId="5" fillId="16" borderId="10" xfId="0" applyFont="1" applyFill="1" applyBorder="1"/>
    <xf numFmtId="38" fontId="7" fillId="18" borderId="10" xfId="0" applyNumberFormat="1" applyFont="1" applyFill="1" applyBorder="1" applyAlignment="1">
      <alignment horizontal="center"/>
    </xf>
    <xf numFmtId="38" fontId="5" fillId="23" borderId="6" xfId="0" applyNumberFormat="1" applyFont="1" applyFill="1" applyBorder="1" applyAlignment="1">
      <alignment horizontal="center"/>
    </xf>
    <xf numFmtId="38" fontId="5" fillId="23" borderId="7" xfId="0" applyNumberFormat="1" applyFont="1" applyFill="1" applyBorder="1" applyAlignment="1">
      <alignment horizontal="center"/>
    </xf>
    <xf numFmtId="38" fontId="5" fillId="23" borderId="8" xfId="0" applyNumberFormat="1" applyFont="1" applyFill="1" applyBorder="1" applyAlignment="1">
      <alignment horizontal="center"/>
    </xf>
    <xf numFmtId="0" fontId="5" fillId="16" borderId="8" xfId="0" applyFont="1" applyFill="1" applyBorder="1" applyAlignment="1">
      <alignment horizontal="center"/>
    </xf>
    <xf numFmtId="0" fontId="7" fillId="16" borderId="46" xfId="0" applyFont="1" applyFill="1" applyBorder="1"/>
    <xf numFmtId="0" fontId="7" fillId="0" borderId="23" xfId="0" applyFont="1" applyBorder="1"/>
    <xf numFmtId="0" fontId="7" fillId="16" borderId="47" xfId="0" applyFont="1" applyFill="1" applyBorder="1"/>
    <xf numFmtId="0" fontId="7" fillId="0" borderId="26" xfId="0" applyFont="1" applyBorder="1"/>
    <xf numFmtId="166" fontId="7" fillId="17" borderId="45" xfId="1" applyNumberFormat="1" applyFont="1" applyFill="1" applyBorder="1" applyAlignment="1">
      <alignment horizontal="center"/>
    </xf>
    <xf numFmtId="0" fontId="5" fillId="9" borderId="7" xfId="0" applyFont="1" applyFill="1" applyBorder="1" applyAlignment="1"/>
    <xf numFmtId="10" fontId="7" fillId="17" borderId="48" xfId="3" applyNumberFormat="1" applyFont="1" applyFill="1" applyBorder="1" applyAlignment="1">
      <alignment horizontal="center"/>
    </xf>
    <xf numFmtId="10" fontId="7" fillId="17" borderId="45" xfId="3" applyNumberFormat="1" applyFont="1" applyFill="1" applyBorder="1" applyAlignment="1">
      <alignment horizontal="center"/>
    </xf>
    <xf numFmtId="38" fontId="7" fillId="24" borderId="6" xfId="0" applyNumberFormat="1" applyFont="1" applyFill="1" applyBorder="1" applyAlignment="1">
      <alignment horizontal="center"/>
    </xf>
    <xf numFmtId="38" fontId="7" fillId="24" borderId="8" xfId="0" applyNumberFormat="1" applyFont="1" applyFill="1" applyBorder="1" applyAlignment="1">
      <alignment horizontal="center"/>
    </xf>
    <xf numFmtId="38" fontId="7" fillId="24" borderId="7" xfId="0" applyNumberFormat="1" applyFont="1" applyFill="1" applyBorder="1" applyAlignment="1">
      <alignment horizontal="center"/>
    </xf>
    <xf numFmtId="178" fontId="7" fillId="18" borderId="7" xfId="0" applyNumberFormat="1" applyFont="1" applyFill="1" applyBorder="1"/>
    <xf numFmtId="178" fontId="7" fillId="18" borderId="8" xfId="0" applyNumberFormat="1" applyFont="1" applyFill="1" applyBorder="1"/>
    <xf numFmtId="0" fontId="15" fillId="15" borderId="14" xfId="0" applyFont="1" applyFill="1" applyBorder="1" applyAlignment="1"/>
    <xf numFmtId="0" fontId="15" fillId="15" borderId="4" xfId="0" applyFont="1" applyFill="1" applyBorder="1" applyAlignment="1"/>
    <xf numFmtId="0" fontId="15" fillId="15" borderId="5" xfId="0" applyFont="1" applyFill="1" applyBorder="1" applyAlignment="1"/>
    <xf numFmtId="0" fontId="7" fillId="0" borderId="0" xfId="0" applyFont="1" applyBorder="1"/>
    <xf numFmtId="0" fontId="7" fillId="0" borderId="9" xfId="0" applyFont="1" applyBorder="1"/>
    <xf numFmtId="2" fontId="4" fillId="18" borderId="5" xfId="3" applyNumberFormat="1" applyFont="1" applyFill="1" applyBorder="1" applyAlignment="1">
      <alignment horizontal="center"/>
    </xf>
    <xf numFmtId="6" fontId="4" fillId="18" borderId="5" xfId="3" applyNumberFormat="1" applyFont="1" applyFill="1" applyBorder="1" applyAlignment="1">
      <alignment horizontal="center"/>
    </xf>
    <xf numFmtId="10" fontId="7" fillId="17" borderId="6" xfId="3" applyNumberFormat="1" applyFont="1" applyFill="1" applyBorder="1" applyAlignment="1">
      <alignment horizontal="center"/>
    </xf>
    <xf numFmtId="38" fontId="4" fillId="18" borderId="4" xfId="0" applyNumberFormat="1" applyFont="1" applyFill="1" applyBorder="1" applyAlignment="1">
      <alignment horizontal="center"/>
    </xf>
    <xf numFmtId="10" fontId="7" fillId="0" borderId="0" xfId="0" applyNumberFormat="1" applyFont="1"/>
    <xf numFmtId="0" fontId="26" fillId="2" borderId="0" xfId="0" applyFont="1" applyFill="1" applyBorder="1" applyAlignment="1">
      <alignment horizontal="left"/>
    </xf>
    <xf numFmtId="0" fontId="26" fillId="2" borderId="0" xfId="0" applyFont="1" applyFill="1" applyBorder="1"/>
    <xf numFmtId="22" fontId="0" fillId="2" borderId="0" xfId="0" applyNumberFormat="1" applyFill="1"/>
    <xf numFmtId="179" fontId="0" fillId="2" borderId="0" xfId="0" applyNumberFormat="1" applyFill="1" applyAlignment="1">
      <alignment horizontal="left"/>
    </xf>
    <xf numFmtId="174" fontId="0" fillId="2" borderId="0" xfId="0" applyNumberFormat="1" applyFill="1"/>
    <xf numFmtId="179" fontId="0" fillId="2" borderId="0" xfId="0" applyNumberFormat="1" applyFill="1"/>
    <xf numFmtId="0" fontId="4" fillId="21" borderId="10" xfId="0" applyFont="1" applyFill="1" applyBorder="1"/>
    <xf numFmtId="10" fontId="4" fillId="0" borderId="0" xfId="3" applyNumberFormat="1" applyFont="1"/>
    <xf numFmtId="0" fontId="4" fillId="0" borderId="0" xfId="0" applyFont="1" applyAlignment="1"/>
    <xf numFmtId="0" fontId="4" fillId="0" borderId="31" xfId="0" applyFont="1" applyBorder="1"/>
    <xf numFmtId="168" fontId="4" fillId="0" borderId="0" xfId="3" applyNumberFormat="1" applyFont="1"/>
    <xf numFmtId="176" fontId="4" fillId="0" borderId="0" xfId="3" applyNumberFormat="1" applyFont="1"/>
    <xf numFmtId="14" fontId="4" fillId="0" borderId="0" xfId="0" applyNumberFormat="1" applyFont="1"/>
    <xf numFmtId="0" fontId="4" fillId="16" borderId="6" xfId="0" applyFont="1" applyFill="1" applyBorder="1" applyAlignment="1"/>
    <xf numFmtId="0" fontId="4" fillId="18" borderId="3" xfId="0" applyFont="1" applyFill="1" applyBorder="1" applyAlignment="1"/>
    <xf numFmtId="0" fontId="4" fillId="18" borderId="5" xfId="0" applyFont="1" applyFill="1" applyBorder="1" applyAlignment="1"/>
    <xf numFmtId="0" fontId="4" fillId="18" borderId="4" xfId="0" applyFont="1" applyFill="1" applyBorder="1" applyAlignment="1"/>
    <xf numFmtId="0" fontId="19" fillId="16" borderId="6" xfId="0" applyFont="1" applyFill="1" applyBorder="1" applyAlignment="1">
      <alignment horizontal="center"/>
    </xf>
    <xf numFmtId="0" fontId="19" fillId="16" borderId="8" xfId="0" applyFont="1" applyFill="1" applyBorder="1" applyAlignment="1">
      <alignment horizontal="center"/>
    </xf>
    <xf numFmtId="0" fontId="4" fillId="18" borderId="12" xfId="0" applyFont="1" applyFill="1" applyBorder="1" applyAlignment="1"/>
    <xf numFmtId="0" fontId="4" fillId="18" borderId="14" xfId="0" applyFont="1" applyFill="1" applyBorder="1" applyAlignment="1"/>
    <xf numFmtId="0" fontId="4" fillId="18" borderId="18" xfId="0" applyFont="1" applyFill="1" applyBorder="1" applyAlignment="1"/>
    <xf numFmtId="0" fontId="4" fillId="0" borderId="0" xfId="3" applyNumberFormat="1" applyFont="1"/>
    <xf numFmtId="0" fontId="15" fillId="17" borderId="42" xfId="0" applyFont="1" applyFill="1" applyBorder="1" applyAlignment="1"/>
    <xf numFmtId="10" fontId="4" fillId="0" borderId="0" xfId="0" applyNumberFormat="1" applyFont="1"/>
    <xf numFmtId="177" fontId="4" fillId="18" borderId="3" xfId="0" applyNumberFormat="1" applyFont="1" applyFill="1" applyBorder="1"/>
    <xf numFmtId="168" fontId="4" fillId="0" borderId="0" xfId="0" applyNumberFormat="1" applyFont="1"/>
    <xf numFmtId="178" fontId="4" fillId="18" borderId="5" xfId="0" applyNumberFormat="1" applyFont="1" applyFill="1" applyBorder="1"/>
    <xf numFmtId="10" fontId="4" fillId="18" borderId="5" xfId="3" applyNumberFormat="1" applyFont="1" applyFill="1" applyBorder="1"/>
    <xf numFmtId="168" fontId="4" fillId="18" borderId="5" xfId="3" applyNumberFormat="1" applyFont="1" applyFill="1" applyBorder="1"/>
    <xf numFmtId="169" fontId="4" fillId="18" borderId="5" xfId="0" applyNumberFormat="1" applyFont="1" applyFill="1" applyBorder="1"/>
    <xf numFmtId="0" fontId="4" fillId="0" borderId="0" xfId="0" applyFont="1" applyFill="1" applyBorder="1" applyAlignment="1"/>
    <xf numFmtId="0" fontId="15" fillId="0" borderId="0" xfId="0" applyFont="1"/>
    <xf numFmtId="168" fontId="15" fillId="0" borderId="0" xfId="0" applyNumberFormat="1" applyFont="1"/>
    <xf numFmtId="10" fontId="7" fillId="18" borderId="6" xfId="3" applyNumberFormat="1" applyFont="1" applyFill="1" applyBorder="1"/>
    <xf numFmtId="0" fontId="29" fillId="29" borderId="0" xfId="0" applyFont="1" applyFill="1"/>
    <xf numFmtId="0" fontId="0" fillId="30" borderId="0" xfId="0" applyFill="1"/>
    <xf numFmtId="0" fontId="0" fillId="31" borderId="0" xfId="0" applyFill="1"/>
    <xf numFmtId="180" fontId="7" fillId="17" borderId="45" xfId="1" applyNumberFormat="1" applyFont="1" applyFill="1" applyBorder="1" applyAlignment="1">
      <alignment horizontal="center"/>
    </xf>
    <xf numFmtId="180" fontId="5" fillId="17" borderId="48" xfId="1" applyNumberFormat="1" applyFont="1" applyFill="1" applyBorder="1" applyAlignment="1">
      <alignment horizontal="center"/>
    </xf>
    <xf numFmtId="181" fontId="4" fillId="0" borderId="0" xfId="3" applyNumberFormat="1" applyFont="1"/>
    <xf numFmtId="0" fontId="4" fillId="0" borderId="0" xfId="0" applyNumberFormat="1" applyFont="1"/>
    <xf numFmtId="0" fontId="7" fillId="13" borderId="10" xfId="0" applyFont="1" applyFill="1" applyBorder="1"/>
    <xf numFmtId="0" fontId="15" fillId="16" borderId="5" xfId="0" applyFont="1" applyFill="1" applyBorder="1"/>
    <xf numFmtId="40" fontId="4" fillId="18" borderId="13" xfId="0" applyNumberFormat="1" applyFont="1" applyFill="1" applyBorder="1"/>
    <xf numFmtId="40" fontId="15" fillId="18" borderId="0" xfId="0" applyNumberFormat="1" applyFont="1" applyFill="1" applyBorder="1"/>
    <xf numFmtId="40" fontId="15" fillId="18" borderId="14" xfId="0" applyNumberFormat="1" applyFont="1" applyFill="1" applyBorder="1"/>
    <xf numFmtId="0" fontId="7" fillId="13" borderId="11" xfId="0" applyFont="1" applyFill="1" applyBorder="1"/>
    <xf numFmtId="40" fontId="4" fillId="18" borderId="10" xfId="0" applyNumberFormat="1" applyFont="1" applyFill="1" applyBorder="1"/>
    <xf numFmtId="10" fontId="4" fillId="18" borderId="7" xfId="0" applyNumberFormat="1" applyFont="1" applyFill="1" applyBorder="1"/>
    <xf numFmtId="40" fontId="15" fillId="18" borderId="7" xfId="0" applyNumberFormat="1" applyFont="1" applyFill="1" applyBorder="1"/>
    <xf numFmtId="9" fontId="4" fillId="18" borderId="7" xfId="3" applyFont="1" applyFill="1" applyBorder="1"/>
    <xf numFmtId="10" fontId="4" fillId="18" borderId="7" xfId="3" applyNumberFormat="1" applyFont="1" applyFill="1" applyBorder="1"/>
    <xf numFmtId="2" fontId="5" fillId="19" borderId="43" xfId="0" applyNumberFormat="1" applyFont="1" applyFill="1" applyBorder="1" applyAlignment="1">
      <alignment vertical="center"/>
    </xf>
    <xf numFmtId="168" fontId="7" fillId="0" borderId="0" xfId="3" applyNumberFormat="1" applyFont="1"/>
    <xf numFmtId="40" fontId="15" fillId="18" borderId="12" xfId="0" applyNumberFormat="1" applyFont="1" applyFill="1" applyBorder="1"/>
    <xf numFmtId="40" fontId="4" fillId="18" borderId="11" xfId="0" applyNumberFormat="1" applyFont="1" applyFill="1" applyBorder="1" applyAlignment="1"/>
    <xf numFmtId="10" fontId="4" fillId="18" borderId="1" xfId="3" applyNumberFormat="1" applyFont="1" applyFill="1" applyBorder="1" applyAlignment="1"/>
    <xf numFmtId="40" fontId="15" fillId="18" borderId="1" xfId="0" applyNumberFormat="1" applyFont="1" applyFill="1" applyBorder="1" applyAlignment="1"/>
    <xf numFmtId="0" fontId="15" fillId="16" borderId="58" xfId="0" applyFont="1" applyFill="1" applyBorder="1"/>
    <xf numFmtId="9" fontId="4" fillId="0" borderId="0" xfId="3" applyFont="1"/>
    <xf numFmtId="0" fontId="21" fillId="2" borderId="0" xfId="0" applyFont="1" applyFill="1" applyBorder="1" applyAlignment="1">
      <alignment horizontal="center"/>
    </xf>
    <xf numFmtId="0" fontId="23" fillId="15" borderId="22" xfId="0" applyFont="1" applyFill="1" applyBorder="1" applyAlignment="1">
      <alignment horizontal="center" vertical="center"/>
    </xf>
    <xf numFmtId="0" fontId="23" fillId="15" borderId="24" xfId="0" applyFont="1" applyFill="1" applyBorder="1" applyAlignment="1">
      <alignment horizontal="center" vertical="center"/>
    </xf>
    <xf numFmtId="0" fontId="23" fillId="15" borderId="25" xfId="0" applyFont="1" applyFill="1" applyBorder="1" applyAlignment="1">
      <alignment horizontal="center" vertical="center"/>
    </xf>
    <xf numFmtId="0" fontId="23" fillId="15" borderId="27" xfId="0" applyFont="1" applyFill="1" applyBorder="1" applyAlignment="1">
      <alignment horizontal="center" vertical="center"/>
    </xf>
    <xf numFmtId="0" fontId="22" fillId="22" borderId="22" xfId="0" applyFont="1" applyFill="1" applyBorder="1" applyAlignment="1">
      <alignment horizontal="center" vertical="center"/>
    </xf>
    <xf numFmtId="0" fontId="22" fillId="22" borderId="23" xfId="0" applyFont="1" applyFill="1" applyBorder="1" applyAlignment="1">
      <alignment horizontal="center" vertical="center"/>
    </xf>
    <xf numFmtId="0" fontId="22" fillId="22" borderId="24" xfId="0" applyFont="1" applyFill="1" applyBorder="1" applyAlignment="1">
      <alignment horizontal="center" vertical="center"/>
    </xf>
    <xf numFmtId="0" fontId="22" fillId="22" borderId="25" xfId="0" applyFont="1" applyFill="1" applyBorder="1" applyAlignment="1">
      <alignment horizontal="center" vertical="center"/>
    </xf>
    <xf numFmtId="0" fontId="22" fillId="22" borderId="26" xfId="0" applyFont="1" applyFill="1" applyBorder="1" applyAlignment="1">
      <alignment horizontal="center" vertical="center"/>
    </xf>
    <xf numFmtId="0" fontId="22" fillId="22" borderId="27" xfId="0" applyFont="1" applyFill="1" applyBorder="1" applyAlignment="1">
      <alignment horizontal="center" vertical="center"/>
    </xf>
    <xf numFmtId="0" fontId="12" fillId="26" borderId="22" xfId="0" applyFont="1" applyFill="1" applyBorder="1" applyAlignment="1">
      <alignment horizontal="center" vertical="center"/>
    </xf>
    <xf numFmtId="0" fontId="12" fillId="26" borderId="23" xfId="0" applyFont="1" applyFill="1" applyBorder="1" applyAlignment="1">
      <alignment horizontal="center" vertical="center"/>
    </xf>
    <xf numFmtId="0" fontId="12" fillId="26" borderId="24" xfId="0" applyFont="1" applyFill="1" applyBorder="1" applyAlignment="1">
      <alignment horizontal="center" vertical="center"/>
    </xf>
    <xf numFmtId="0" fontId="12" fillId="26" borderId="25" xfId="0" applyFont="1" applyFill="1" applyBorder="1" applyAlignment="1">
      <alignment horizontal="center" vertical="center"/>
    </xf>
    <xf numFmtId="0" fontId="12" fillId="26" borderId="26" xfId="0" applyFont="1" applyFill="1" applyBorder="1" applyAlignment="1">
      <alignment horizontal="center" vertical="center"/>
    </xf>
    <xf numFmtId="0" fontId="12" fillId="26" borderId="27" xfId="0" applyFont="1" applyFill="1" applyBorder="1" applyAlignment="1">
      <alignment horizontal="center" vertical="center"/>
    </xf>
    <xf numFmtId="0" fontId="5" fillId="26" borderId="49" xfId="0" applyFont="1" applyFill="1" applyBorder="1" applyAlignment="1">
      <alignment horizontal="center"/>
    </xf>
    <xf numFmtId="0" fontId="27" fillId="27" borderId="50" xfId="2" applyFont="1" applyFill="1" applyBorder="1" applyAlignment="1">
      <alignment horizontal="center" vertical="center"/>
    </xf>
    <xf numFmtId="0" fontId="27" fillId="27" borderId="49" xfId="2" applyFont="1" applyFill="1" applyBorder="1" applyAlignment="1">
      <alignment horizontal="center" vertical="center"/>
    </xf>
    <xf numFmtId="0" fontId="27" fillId="27" borderId="51" xfId="2" applyFont="1" applyFill="1" applyBorder="1" applyAlignment="1">
      <alignment horizontal="center" vertical="center"/>
    </xf>
    <xf numFmtId="0" fontId="27" fillId="27" borderId="52" xfId="2" applyFont="1" applyFill="1" applyBorder="1" applyAlignment="1">
      <alignment horizontal="center" vertical="center"/>
    </xf>
    <xf numFmtId="0" fontId="27" fillId="27" borderId="53" xfId="2" applyFont="1" applyFill="1" applyBorder="1" applyAlignment="1">
      <alignment horizontal="center" vertical="center"/>
    </xf>
    <xf numFmtId="0" fontId="27" fillId="27" borderId="54" xfId="2" applyFont="1" applyFill="1" applyBorder="1" applyAlignment="1">
      <alignment horizontal="center" vertical="center"/>
    </xf>
    <xf numFmtId="0" fontId="25" fillId="25" borderId="50" xfId="0" applyFont="1" applyFill="1" applyBorder="1" applyAlignment="1">
      <alignment horizontal="center" vertical="center"/>
    </xf>
    <xf numFmtId="0" fontId="25" fillId="25" borderId="49" xfId="0" applyFont="1" applyFill="1" applyBorder="1" applyAlignment="1">
      <alignment horizontal="center" vertical="center"/>
    </xf>
    <xf numFmtId="0" fontId="25" fillId="25" borderId="51" xfId="0" applyFont="1" applyFill="1" applyBorder="1" applyAlignment="1">
      <alignment horizontal="center" vertical="center"/>
    </xf>
    <xf numFmtId="0" fontId="25" fillId="25" borderId="56" xfId="0" applyFont="1" applyFill="1" applyBorder="1" applyAlignment="1">
      <alignment horizontal="center" vertical="center"/>
    </xf>
    <xf numFmtId="0" fontId="25" fillId="25" borderId="0" xfId="0" applyFont="1" applyFill="1" applyBorder="1" applyAlignment="1">
      <alignment horizontal="center" vertical="center"/>
    </xf>
    <xf numFmtId="0" fontId="25" fillId="25" borderId="55" xfId="0" applyFont="1" applyFill="1" applyBorder="1" applyAlignment="1">
      <alignment horizontal="center" vertical="center"/>
    </xf>
    <xf numFmtId="0" fontId="25" fillId="25" borderId="52" xfId="0" applyFont="1" applyFill="1" applyBorder="1" applyAlignment="1">
      <alignment horizontal="center" vertical="center"/>
    </xf>
    <xf numFmtId="0" fontId="25" fillId="25" borderId="53" xfId="0" applyFont="1" applyFill="1" applyBorder="1" applyAlignment="1">
      <alignment horizontal="center" vertical="center"/>
    </xf>
    <xf numFmtId="0" fontId="25" fillId="25" borderId="54" xfId="0" applyFont="1" applyFill="1" applyBorder="1" applyAlignment="1">
      <alignment horizontal="center" vertical="center"/>
    </xf>
    <xf numFmtId="174" fontId="28" fillId="27" borderId="50" xfId="0" applyNumberFormat="1" applyFont="1" applyFill="1" applyBorder="1" applyAlignment="1">
      <alignment horizontal="center" vertical="center"/>
    </xf>
    <xf numFmtId="174" fontId="28" fillId="27" borderId="49" xfId="0" applyNumberFormat="1" applyFont="1" applyFill="1" applyBorder="1" applyAlignment="1">
      <alignment horizontal="center" vertical="center"/>
    </xf>
    <xf numFmtId="174" fontId="28" fillId="27" borderId="51" xfId="0" applyNumberFormat="1" applyFont="1" applyFill="1" applyBorder="1" applyAlignment="1">
      <alignment horizontal="center" vertical="center"/>
    </xf>
    <xf numFmtId="174" fontId="28" fillId="27" borderId="56" xfId="0" applyNumberFormat="1" applyFont="1" applyFill="1" applyBorder="1" applyAlignment="1">
      <alignment horizontal="center" vertical="center"/>
    </xf>
    <xf numFmtId="174" fontId="28" fillId="27" borderId="0" xfId="0" applyNumberFormat="1" applyFont="1" applyFill="1" applyBorder="1" applyAlignment="1">
      <alignment horizontal="center" vertical="center"/>
    </xf>
    <xf numFmtId="174" fontId="28" fillId="27" borderId="55" xfId="0" applyNumberFormat="1" applyFont="1" applyFill="1" applyBorder="1" applyAlignment="1">
      <alignment horizontal="center" vertical="center"/>
    </xf>
    <xf numFmtId="174" fontId="28" fillId="27" borderId="52" xfId="0" applyNumberFormat="1" applyFont="1" applyFill="1" applyBorder="1" applyAlignment="1">
      <alignment horizontal="center" vertical="center"/>
    </xf>
    <xf numFmtId="174" fontId="28" fillId="27" borderId="53" xfId="0" applyNumberFormat="1" applyFont="1" applyFill="1" applyBorder="1" applyAlignment="1">
      <alignment horizontal="center" vertical="center"/>
    </xf>
    <xf numFmtId="174" fontId="28" fillId="27" borderId="54" xfId="0" applyNumberFormat="1" applyFont="1" applyFill="1" applyBorder="1" applyAlignment="1">
      <alignment horizontal="center" vertical="center"/>
    </xf>
    <xf numFmtId="179" fontId="11" fillId="28" borderId="57" xfId="0" applyNumberFormat="1" applyFont="1" applyFill="1" applyBorder="1" applyAlignment="1">
      <alignment horizontal="center"/>
    </xf>
    <xf numFmtId="0" fontId="11" fillId="28" borderId="57" xfId="0" applyFont="1" applyFill="1" applyBorder="1" applyAlignment="1">
      <alignment horizontal="center"/>
    </xf>
    <xf numFmtId="0" fontId="5" fillId="16" borderId="19" xfId="0" applyFont="1" applyFill="1" applyBorder="1" applyAlignment="1">
      <alignment horizontal="center"/>
    </xf>
    <xf numFmtId="0" fontId="5" fillId="16" borderId="21" xfId="0" applyFont="1" applyFill="1" applyBorder="1" applyAlignment="1">
      <alignment horizontal="center"/>
    </xf>
    <xf numFmtId="0" fontId="31" fillId="22" borderId="22" xfId="0" applyFont="1" applyFill="1" applyBorder="1" applyAlignment="1">
      <alignment horizontal="center" vertical="center"/>
    </xf>
    <xf numFmtId="0" fontId="31" fillId="22" borderId="24" xfId="0" applyFont="1" applyFill="1" applyBorder="1" applyAlignment="1">
      <alignment horizontal="center" vertical="center"/>
    </xf>
    <xf numFmtId="0" fontId="31" fillId="22" borderId="25" xfId="0" applyFont="1" applyFill="1" applyBorder="1" applyAlignment="1">
      <alignment horizontal="center" vertical="center"/>
    </xf>
    <xf numFmtId="0" fontId="31" fillId="22" borderId="27" xfId="0" applyFont="1" applyFill="1" applyBorder="1" applyAlignment="1">
      <alignment horizontal="center" vertical="center"/>
    </xf>
    <xf numFmtId="0" fontId="12" fillId="29" borderId="22" xfId="0" applyFont="1" applyFill="1" applyBorder="1" applyAlignment="1">
      <alignment horizontal="center" vertical="center"/>
    </xf>
    <xf numFmtId="0" fontId="12" fillId="29" borderId="23" xfId="0" applyFont="1" applyFill="1" applyBorder="1" applyAlignment="1">
      <alignment horizontal="center" vertical="center"/>
    </xf>
    <xf numFmtId="0" fontId="12" fillId="30" borderId="22" xfId="0" applyFont="1" applyFill="1" applyBorder="1" applyAlignment="1">
      <alignment horizontal="center" vertical="center"/>
    </xf>
    <xf numFmtId="0" fontId="12" fillId="30" borderId="23" xfId="0" applyFont="1" applyFill="1" applyBorder="1" applyAlignment="1">
      <alignment horizontal="center" vertical="center"/>
    </xf>
    <xf numFmtId="0" fontId="12" fillId="31" borderId="22" xfId="0" applyFont="1" applyFill="1" applyBorder="1" applyAlignment="1">
      <alignment horizontal="center" vertical="center"/>
    </xf>
    <xf numFmtId="0" fontId="12" fillId="31" borderId="23" xfId="0" applyFont="1" applyFill="1" applyBorder="1" applyAlignment="1">
      <alignment horizontal="center" vertical="center"/>
    </xf>
    <xf numFmtId="0" fontId="30" fillId="26" borderId="13" xfId="0" applyFont="1" applyFill="1" applyBorder="1" applyAlignment="1">
      <alignment horizontal="center" vertical="center"/>
    </xf>
    <xf numFmtId="0" fontId="30" fillId="26" borderId="14" xfId="0" applyFont="1" applyFill="1" applyBorder="1" applyAlignment="1">
      <alignment horizontal="center" vertical="center"/>
    </xf>
    <xf numFmtId="0" fontId="13" fillId="15" borderId="10" xfId="0" applyFont="1" applyFill="1" applyBorder="1" applyAlignment="1">
      <alignment horizontal="center"/>
    </xf>
    <xf numFmtId="0" fontId="13" fillId="15" borderId="7" xfId="0" applyFont="1" applyFill="1" applyBorder="1" applyAlignment="1">
      <alignment horizontal="center"/>
    </xf>
    <xf numFmtId="0" fontId="13" fillId="15" borderId="8" xfId="0" applyFont="1" applyFill="1" applyBorder="1" applyAlignment="1">
      <alignment horizontal="center"/>
    </xf>
    <xf numFmtId="0" fontId="5" fillId="2" borderId="22" xfId="0" applyFont="1" applyFill="1" applyBorder="1" applyAlignment="1">
      <alignment horizontal="center"/>
    </xf>
    <xf numFmtId="0" fontId="5" fillId="2" borderId="23" xfId="0" applyFont="1" applyFill="1" applyBorder="1" applyAlignment="1">
      <alignment horizontal="center"/>
    </xf>
    <xf numFmtId="0" fontId="5" fillId="2" borderId="24" xfId="0" applyFont="1" applyFill="1" applyBorder="1" applyAlignment="1">
      <alignment horizontal="center"/>
    </xf>
    <xf numFmtId="0" fontId="5" fillId="2" borderId="25" xfId="0" applyFont="1" applyFill="1" applyBorder="1" applyAlignment="1">
      <alignment horizontal="center"/>
    </xf>
    <xf numFmtId="0" fontId="5" fillId="2" borderId="26" xfId="0" applyFont="1" applyFill="1" applyBorder="1" applyAlignment="1">
      <alignment horizontal="center"/>
    </xf>
    <xf numFmtId="0" fontId="5" fillId="2" borderId="27" xfId="0" applyFont="1" applyFill="1" applyBorder="1" applyAlignment="1">
      <alignment horizontal="center"/>
    </xf>
    <xf numFmtId="0" fontId="13" fillId="15" borderId="11" xfId="0" applyFont="1" applyFill="1" applyBorder="1" applyAlignment="1">
      <alignment horizontal="center"/>
    </xf>
    <xf numFmtId="0" fontId="13" fillId="15" borderId="1" xfId="0" applyFont="1" applyFill="1" applyBorder="1" applyAlignment="1">
      <alignment horizontal="center"/>
    </xf>
    <xf numFmtId="0" fontId="13" fillId="15" borderId="12" xfId="0" applyFont="1" applyFill="1" applyBorder="1" applyAlignment="1">
      <alignment horizontal="center"/>
    </xf>
    <xf numFmtId="0" fontId="5" fillId="15" borderId="6" xfId="0" applyFont="1" applyFill="1" applyBorder="1" applyAlignment="1">
      <alignment horizontal="center"/>
    </xf>
    <xf numFmtId="0" fontId="15" fillId="15" borderId="6" xfId="0" applyFont="1" applyFill="1" applyBorder="1" applyAlignment="1">
      <alignment horizontal="center"/>
    </xf>
    <xf numFmtId="0" fontId="16" fillId="15" borderId="10" xfId="0" applyFont="1" applyFill="1" applyBorder="1" applyAlignment="1">
      <alignment horizontal="center"/>
    </xf>
    <xf numFmtId="0" fontId="16" fillId="15" borderId="7" xfId="0" applyFont="1" applyFill="1" applyBorder="1" applyAlignment="1">
      <alignment horizontal="center"/>
    </xf>
    <xf numFmtId="0" fontId="16" fillId="15" borderId="8" xfId="0" applyFont="1" applyFill="1" applyBorder="1" applyAlignment="1">
      <alignment horizontal="center"/>
    </xf>
    <xf numFmtId="0" fontId="15" fillId="15" borderId="10" xfId="0" applyFont="1" applyFill="1" applyBorder="1" applyAlignment="1">
      <alignment horizontal="center"/>
    </xf>
    <xf numFmtId="0" fontId="15" fillId="15" borderId="7" xfId="0" applyFont="1" applyFill="1" applyBorder="1" applyAlignment="1">
      <alignment horizontal="center"/>
    </xf>
    <xf numFmtId="0" fontId="15" fillId="15" borderId="8" xfId="0" applyFont="1" applyFill="1" applyBorder="1" applyAlignment="1">
      <alignment horizontal="center"/>
    </xf>
    <xf numFmtId="0" fontId="5" fillId="2" borderId="19" xfId="0" applyFont="1" applyFill="1" applyBorder="1" applyAlignment="1">
      <alignment horizontal="center"/>
    </xf>
    <xf numFmtId="0" fontId="5" fillId="2" borderId="20" xfId="0" applyFont="1" applyFill="1" applyBorder="1" applyAlignment="1">
      <alignment horizontal="center"/>
    </xf>
    <xf numFmtId="0" fontId="5" fillId="2" borderId="21" xfId="0" applyFont="1" applyFill="1" applyBorder="1" applyAlignment="1">
      <alignment horizontal="center"/>
    </xf>
    <xf numFmtId="0" fontId="11" fillId="4" borderId="19" xfId="0" applyFont="1" applyFill="1" applyBorder="1" applyAlignment="1">
      <alignment horizontal="center" vertical="center"/>
    </xf>
    <xf numFmtId="0" fontId="11" fillId="4" borderId="20" xfId="0" applyFont="1" applyFill="1" applyBorder="1" applyAlignment="1">
      <alignment horizontal="center" vertical="center"/>
    </xf>
    <xf numFmtId="0" fontId="11" fillId="4" borderId="21" xfId="0" applyFont="1" applyFill="1" applyBorder="1" applyAlignment="1">
      <alignment horizontal="center" vertical="center"/>
    </xf>
    <xf numFmtId="0" fontId="16" fillId="15" borderId="6" xfId="0" applyFont="1" applyFill="1" applyBorder="1" applyAlignment="1">
      <alignment horizontal="center"/>
    </xf>
    <xf numFmtId="0" fontId="7" fillId="16" borderId="6" xfId="0" applyFont="1" applyFill="1" applyBorder="1" applyAlignment="1">
      <alignment horizontal="left" vertical="center"/>
    </xf>
    <xf numFmtId="0" fontId="5" fillId="16" borderId="6" xfId="0" applyFont="1" applyFill="1" applyBorder="1" applyAlignment="1">
      <alignment horizontal="left" vertical="center"/>
    </xf>
    <xf numFmtId="0" fontId="5" fillId="16" borderId="10" xfId="0" applyFont="1" applyFill="1" applyBorder="1" applyAlignment="1">
      <alignment horizontal="left" vertical="center"/>
    </xf>
    <xf numFmtId="0" fontId="6" fillId="8" borderId="6" xfId="0" applyFont="1" applyFill="1" applyBorder="1" applyAlignment="1">
      <alignment horizontal="center" vertical="center"/>
    </xf>
    <xf numFmtId="165" fontId="9" fillId="6" borderId="19" xfId="0" applyNumberFormat="1" applyFont="1" applyFill="1" applyBorder="1" applyAlignment="1">
      <alignment horizontal="center" vertical="center"/>
    </xf>
    <xf numFmtId="165" fontId="9" fillId="6" borderId="20" xfId="0" applyNumberFormat="1" applyFont="1" applyFill="1" applyBorder="1" applyAlignment="1">
      <alignment horizontal="center" vertical="center"/>
    </xf>
    <xf numFmtId="165" fontId="9" fillId="6" borderId="21" xfId="0" applyNumberFormat="1" applyFont="1" applyFill="1" applyBorder="1" applyAlignment="1">
      <alignment horizontal="center" vertical="center"/>
    </xf>
    <xf numFmtId="0" fontId="6" fillId="7" borderId="3" xfId="0" applyFont="1" applyFill="1" applyBorder="1" applyAlignment="1">
      <alignment horizontal="center" vertical="center"/>
    </xf>
    <xf numFmtId="0" fontId="6" fillId="7" borderId="5" xfId="0" applyFont="1" applyFill="1" applyBorder="1" applyAlignment="1">
      <alignment horizontal="center" vertical="center"/>
    </xf>
    <xf numFmtId="0" fontId="6" fillId="7" borderId="4" xfId="0" applyFont="1" applyFill="1" applyBorder="1" applyAlignment="1">
      <alignment horizontal="center" vertical="center"/>
    </xf>
    <xf numFmtId="0" fontId="11" fillId="4" borderId="19" xfId="0" applyFont="1" applyFill="1" applyBorder="1" applyAlignment="1">
      <alignment horizontal="center"/>
    </xf>
    <xf numFmtId="0" fontId="11" fillId="4" borderId="20" xfId="0" applyFont="1" applyFill="1" applyBorder="1" applyAlignment="1">
      <alignment horizontal="center"/>
    </xf>
    <xf numFmtId="0" fontId="11" fillId="4" borderId="21" xfId="0" applyFont="1" applyFill="1" applyBorder="1" applyAlignment="1">
      <alignment horizontal="center"/>
    </xf>
    <xf numFmtId="0" fontId="5" fillId="9" borderId="6" xfId="0" applyFont="1" applyFill="1" applyBorder="1" applyAlignment="1">
      <alignment horizontal="center"/>
    </xf>
    <xf numFmtId="0" fontId="10" fillId="2" borderId="20" xfId="0" applyFont="1" applyFill="1" applyBorder="1" applyAlignment="1"/>
    <xf numFmtId="0" fontId="10" fillId="2" borderId="21" xfId="0" applyFont="1" applyFill="1" applyBorder="1" applyAlignment="1"/>
    <xf numFmtId="0" fontId="4" fillId="0" borderId="0" xfId="0" applyFont="1" applyAlignment="1">
      <alignment horizontal="center"/>
    </xf>
    <xf numFmtId="0" fontId="15" fillId="2" borderId="19" xfId="0" applyFont="1" applyFill="1" applyBorder="1" applyAlignment="1">
      <alignment horizontal="center"/>
    </xf>
    <xf numFmtId="0" fontId="15" fillId="2" borderId="21" xfId="0" applyFont="1" applyFill="1" applyBorder="1" applyAlignment="1">
      <alignment horizontal="center"/>
    </xf>
    <xf numFmtId="0" fontId="19" fillId="15" borderId="38" xfId="0" applyFont="1" applyFill="1" applyBorder="1" applyAlignment="1">
      <alignment horizontal="center"/>
    </xf>
    <xf numFmtId="0" fontId="4" fillId="15" borderId="1" xfId="0" applyFont="1" applyFill="1" applyBorder="1" applyAlignment="1">
      <alignment horizontal="center"/>
    </xf>
    <xf numFmtId="0" fontId="5" fillId="9" borderId="10" xfId="0" applyFont="1" applyFill="1" applyBorder="1" applyAlignment="1">
      <alignment horizontal="right" vertical="top"/>
    </xf>
    <xf numFmtId="0" fontId="5" fillId="9" borderId="7" xfId="0" applyFont="1" applyFill="1" applyBorder="1" applyAlignment="1">
      <alignment horizontal="right" vertical="top"/>
    </xf>
    <xf numFmtId="0" fontId="5" fillId="9" borderId="22" xfId="0" applyFont="1" applyFill="1" applyBorder="1" applyAlignment="1">
      <alignment horizontal="center" vertical="center"/>
    </xf>
    <xf numFmtId="0" fontId="5" fillId="9" borderId="24" xfId="0" applyFont="1" applyFill="1" applyBorder="1" applyAlignment="1">
      <alignment horizontal="center" vertical="center"/>
    </xf>
    <xf numFmtId="0" fontId="5" fillId="9" borderId="25" xfId="0" applyFont="1" applyFill="1" applyBorder="1" applyAlignment="1">
      <alignment horizontal="center" vertical="center"/>
    </xf>
    <xf numFmtId="0" fontId="5" fillId="9" borderId="27" xfId="0" applyFont="1" applyFill="1" applyBorder="1" applyAlignment="1">
      <alignment horizontal="center" vertical="center"/>
    </xf>
    <xf numFmtId="174" fontId="5" fillId="0" borderId="22" xfId="0" applyNumberFormat="1" applyFont="1" applyBorder="1" applyAlignment="1">
      <alignment horizontal="center" vertical="center"/>
    </xf>
    <xf numFmtId="174" fontId="5" fillId="0" borderId="24" xfId="0" applyNumberFormat="1" applyFont="1" applyBorder="1" applyAlignment="1">
      <alignment horizontal="center" vertical="center"/>
    </xf>
    <xf numFmtId="174" fontId="5" fillId="0" borderId="25" xfId="0" applyNumberFormat="1" applyFont="1" applyBorder="1" applyAlignment="1">
      <alignment horizontal="center" vertical="center"/>
    </xf>
    <xf numFmtId="174" fontId="5" fillId="0" borderId="27" xfId="0" applyNumberFormat="1" applyFont="1" applyBorder="1" applyAlignment="1">
      <alignment horizontal="center" vertical="center"/>
    </xf>
    <xf numFmtId="0" fontId="24" fillId="0" borderId="22" xfId="0" applyFont="1" applyBorder="1" applyAlignment="1">
      <alignment horizontal="center" vertical="center"/>
    </xf>
    <xf numFmtId="0" fontId="24" fillId="0" borderId="23" xfId="0" applyFont="1" applyBorder="1" applyAlignment="1">
      <alignment horizontal="center" vertical="center"/>
    </xf>
    <xf numFmtId="0" fontId="24" fillId="0" borderId="24" xfId="0" applyFont="1" applyBorder="1" applyAlignment="1">
      <alignment horizontal="center" vertical="center"/>
    </xf>
    <xf numFmtId="0" fontId="24" fillId="0" borderId="31" xfId="0" applyFont="1" applyBorder="1" applyAlignment="1">
      <alignment horizontal="center" vertical="center"/>
    </xf>
    <xf numFmtId="0" fontId="24" fillId="0" borderId="0" xfId="0" applyFont="1" applyBorder="1" applyAlignment="1">
      <alignment horizontal="center" vertical="center"/>
    </xf>
    <xf numFmtId="0" fontId="24" fillId="0" borderId="32" xfId="0" applyFont="1" applyBorder="1" applyAlignment="1">
      <alignment horizontal="center" vertical="center"/>
    </xf>
    <xf numFmtId="0" fontId="24" fillId="0" borderId="25" xfId="0" applyFont="1" applyBorder="1" applyAlignment="1">
      <alignment horizontal="center" vertical="center"/>
    </xf>
    <xf numFmtId="0" fontId="24" fillId="0" borderId="26" xfId="0" applyFont="1" applyBorder="1" applyAlignment="1">
      <alignment horizontal="center" vertical="center"/>
    </xf>
    <xf numFmtId="0" fontId="24" fillId="0" borderId="27" xfId="0" applyFont="1" applyBorder="1" applyAlignment="1">
      <alignment horizontal="center" vertical="center"/>
    </xf>
    <xf numFmtId="0" fontId="5" fillId="16" borderId="39" xfId="0" applyFont="1" applyFill="1" applyBorder="1" applyAlignment="1">
      <alignment horizontal="center"/>
    </xf>
    <xf numFmtId="0" fontId="5" fillId="16" borderId="23" xfId="0" applyFont="1" applyFill="1" applyBorder="1" applyAlignment="1">
      <alignment horizontal="center"/>
    </xf>
    <xf numFmtId="0" fontId="5" fillId="16" borderId="40" xfId="0" applyFont="1" applyFill="1" applyBorder="1" applyAlignment="1">
      <alignment horizontal="center"/>
    </xf>
    <xf numFmtId="0" fontId="5" fillId="9" borderId="44" xfId="0" applyFont="1" applyFill="1" applyBorder="1" applyAlignment="1">
      <alignment horizontal="center" vertical="center"/>
    </xf>
    <xf numFmtId="0" fontId="5" fillId="9" borderId="45" xfId="0" applyFont="1" applyFill="1" applyBorder="1" applyAlignment="1">
      <alignment horizontal="center" vertical="center"/>
    </xf>
    <xf numFmtId="174" fontId="5" fillId="0" borderId="44" xfId="0" applyNumberFormat="1" applyFont="1" applyBorder="1" applyAlignment="1">
      <alignment horizontal="center" vertical="center"/>
    </xf>
    <xf numFmtId="174" fontId="5" fillId="0" borderId="45" xfId="0" applyNumberFormat="1" applyFont="1" applyBorder="1" applyAlignment="1">
      <alignment horizontal="center" vertical="center"/>
    </xf>
    <xf numFmtId="0" fontId="25" fillId="2" borderId="19" xfId="0" applyFont="1" applyFill="1" applyBorder="1" applyAlignment="1">
      <alignment horizontal="center" vertical="center"/>
    </xf>
    <xf numFmtId="0" fontId="25" fillId="2" borderId="20" xfId="0" applyFont="1" applyFill="1" applyBorder="1" applyAlignment="1">
      <alignment horizontal="center" vertical="center"/>
    </xf>
    <xf numFmtId="0" fontId="25" fillId="2" borderId="21" xfId="0" applyFont="1" applyFill="1" applyBorder="1" applyAlignment="1">
      <alignment horizontal="center" vertical="center"/>
    </xf>
  </cellXfs>
  <cellStyles count="5">
    <cellStyle name="Comma" xfId="1" builtinId="3"/>
    <cellStyle name="Currency" xfId="4" builtinId="4"/>
    <cellStyle name="Hyperlink" xfId="2" builtinId="8"/>
    <cellStyle name="Normal" xfId="0" builtinId="0"/>
    <cellStyle name="Percent" xfId="3" builtinId="5"/>
  </cellStyles>
  <dxfs count="10">
    <dxf>
      <font>
        <b/>
        <i val="0"/>
        <color auto="1"/>
      </font>
      <fill>
        <patternFill patternType="gray0625">
          <bgColor theme="9" tint="0.39994506668294322"/>
        </patternFill>
      </fill>
    </dxf>
    <dxf>
      <font>
        <b/>
        <i val="0"/>
        <color auto="1"/>
      </font>
      <fill>
        <patternFill patternType="gray0625">
          <bgColor rgb="FFFF3B3B"/>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b/>
        <i val="0"/>
        <color auto="1"/>
      </font>
      <fill>
        <patternFill patternType="gray0625">
          <bgColor theme="9" tint="0.39994506668294322"/>
        </patternFill>
      </fill>
    </dxf>
    <dxf>
      <font>
        <b/>
        <i val="0"/>
        <color auto="1"/>
      </font>
      <fill>
        <patternFill patternType="gray0625">
          <bgColor rgb="FFFF3B3B"/>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colors>
    <mruColors>
      <color rgb="FFFF5757"/>
      <color rgb="FFFFFF8F"/>
      <color rgb="FF47FF9A"/>
      <color rgb="FFFF3B3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1" Type="http://schemas.openxmlformats.org/officeDocument/2006/relationships/image" Target="../media/image6.pn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10.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editAs="oneCell">
    <xdr:from>
      <xdr:col>0</xdr:col>
      <xdr:colOff>527924</xdr:colOff>
      <xdr:row>0</xdr:row>
      <xdr:rowOff>4249</xdr:rowOff>
    </xdr:from>
    <xdr:to>
      <xdr:col>10</xdr:col>
      <xdr:colOff>1520815</xdr:colOff>
      <xdr:row>26</xdr:row>
      <xdr:rowOff>15776</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27924" y="4249"/>
          <a:ext cx="6537839" cy="488548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12</xdr:col>
          <xdr:colOff>7620</xdr:colOff>
          <xdr:row>23</xdr:row>
          <xdr:rowOff>0</xdr:rowOff>
        </xdr:from>
        <xdr:to>
          <xdr:col>14</xdr:col>
          <xdr:colOff>0</xdr:colOff>
          <xdr:row>26</xdr:row>
          <xdr:rowOff>160020</xdr:rowOff>
        </xdr:to>
        <xdr:sp macro="" textlink="">
          <xdr:nvSpPr>
            <xdr:cNvPr id="1033" name="MostLikelyButton"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1524000</xdr:colOff>
          <xdr:row>16</xdr:row>
          <xdr:rowOff>175260</xdr:rowOff>
        </xdr:from>
        <xdr:to>
          <xdr:col>14</xdr:col>
          <xdr:colOff>7620</xdr:colOff>
          <xdr:row>20</xdr:row>
          <xdr:rowOff>175260</xdr:rowOff>
        </xdr:to>
        <xdr:sp macro="" textlink="">
          <xdr:nvSpPr>
            <xdr:cNvPr id="1034" name="OptimisticButton"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1531620</xdr:colOff>
          <xdr:row>29</xdr:row>
          <xdr:rowOff>7620</xdr:rowOff>
        </xdr:from>
        <xdr:to>
          <xdr:col>13</xdr:col>
          <xdr:colOff>1584960</xdr:colOff>
          <xdr:row>32</xdr:row>
          <xdr:rowOff>175260</xdr:rowOff>
        </xdr:to>
        <xdr:sp macro="" textlink="">
          <xdr:nvSpPr>
            <xdr:cNvPr id="1036" name="PessimisticButton"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101600</xdr:colOff>
      <xdr:row>0</xdr:row>
      <xdr:rowOff>50800</xdr:rowOff>
    </xdr:from>
    <xdr:to>
      <xdr:col>0</xdr:col>
      <xdr:colOff>872635</xdr:colOff>
      <xdr:row>1</xdr:row>
      <xdr:rowOff>176549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 y="50800"/>
          <a:ext cx="771035" cy="3200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81321</xdr:colOff>
      <xdr:row>0</xdr:row>
      <xdr:rowOff>24095</xdr:rowOff>
    </xdr:from>
    <xdr:to>
      <xdr:col>0</xdr:col>
      <xdr:colOff>852356</xdr:colOff>
      <xdr:row>1</xdr:row>
      <xdr:rowOff>130477</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21" y="24095"/>
          <a:ext cx="771035" cy="3200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58057</xdr:colOff>
      <xdr:row>0</xdr:row>
      <xdr:rowOff>21771</xdr:rowOff>
    </xdr:from>
    <xdr:to>
      <xdr:col>0</xdr:col>
      <xdr:colOff>829092</xdr:colOff>
      <xdr:row>1</xdr:row>
      <xdr:rowOff>161147</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057" y="21771"/>
          <a:ext cx="771035" cy="322256"/>
        </a:xfrm>
        <a:prstGeom prst="rect">
          <a:avLst/>
        </a:prstGeom>
      </xdr:spPr>
    </xdr:pic>
    <xdr:clientData/>
  </xdr:twoCellAnchor>
  <xdr:twoCellAnchor editAs="oneCell">
    <xdr:from>
      <xdr:col>0</xdr:col>
      <xdr:colOff>58057</xdr:colOff>
      <xdr:row>0</xdr:row>
      <xdr:rowOff>21771</xdr:rowOff>
    </xdr:from>
    <xdr:to>
      <xdr:col>0</xdr:col>
      <xdr:colOff>829092</xdr:colOff>
      <xdr:row>1</xdr:row>
      <xdr:rowOff>145907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057" y="21771"/>
          <a:ext cx="771035" cy="32225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58057</xdr:colOff>
      <xdr:row>0</xdr:row>
      <xdr:rowOff>21771</xdr:rowOff>
    </xdr:from>
    <xdr:to>
      <xdr:col>0</xdr:col>
      <xdr:colOff>829092</xdr:colOff>
      <xdr:row>1</xdr:row>
      <xdr:rowOff>145907</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057" y="21771"/>
          <a:ext cx="771035" cy="320079"/>
        </a:xfrm>
        <a:prstGeom prst="rect">
          <a:avLst/>
        </a:prstGeom>
      </xdr:spPr>
    </xdr:pic>
    <xdr:clientData/>
  </xdr:twoCellAnchor>
  <xdr:twoCellAnchor>
    <xdr:from>
      <xdr:col>12</xdr:col>
      <xdr:colOff>230834</xdr:colOff>
      <xdr:row>1</xdr:row>
      <xdr:rowOff>133697</xdr:rowOff>
    </xdr:from>
    <xdr:to>
      <xdr:col>25</xdr:col>
      <xdr:colOff>375920</xdr:colOff>
      <xdr:row>45</xdr:row>
      <xdr:rowOff>81280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11152834" y="336897"/>
          <a:ext cx="8069886" cy="7628543"/>
        </a:xfrm>
        <a:prstGeom prst="rect">
          <a:avLst/>
        </a:prstGeom>
        <a:solidFill>
          <a:schemeClr val="accent1">
            <a:lumMod val="20000"/>
            <a:lumOff val="80000"/>
          </a:schemeClr>
        </a:solidFill>
        <a:ln w="38100" cmpd="sng">
          <a:solidFill>
            <a:schemeClr val="tx1"/>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lgn="l"/>
          <a:r>
            <a:rPr lang="en-US" sz="1400">
              <a:latin typeface="Times New Roman" panose="02020603050405020304" pitchFamily="18" charset="0"/>
              <a:cs typeface="Times New Roman" panose="02020603050405020304" pitchFamily="18" charset="0"/>
            </a:rPr>
            <a:t>Liquidity Ratios have been impacted as compared to last year due to account of working capital changes. However, the company remains sufficiently liquid and has Rs. 2.7 billion of cash and cash equivalents to meet its operating cash requirements. The current ratio declined by 2.4% versus last year due to a decrease in trade debts and an increase in payable balances. However, the drop was partially offset by growth in inventories accumulated by the year-end. The quick-acid test ratio remained comparatively stable. Due to supply chain disruptions, the company might prefer to keep a higher stock of inventories and borrow short-term funds to finance that, which would lead to even further deteriorated liquidity ratios in the immediate future</a:t>
          </a:r>
          <a:r>
            <a:rPr lang="en-US" sz="1400" baseline="0">
              <a:latin typeface="Times New Roman" panose="02020603050405020304" pitchFamily="18" charset="0"/>
              <a:cs typeface="Times New Roman" panose="02020603050405020304" pitchFamily="18" charset="0"/>
            </a:rPr>
            <a:t>.</a:t>
          </a:r>
        </a:p>
        <a:p>
          <a:pPr lvl="0" algn="l"/>
          <a:endParaRPr lang="en-US" sz="1400">
            <a:latin typeface="Times New Roman" panose="02020603050405020304" pitchFamily="18" charset="0"/>
            <a:cs typeface="Times New Roman" panose="02020603050405020304" pitchFamily="18" charset="0"/>
          </a:endParaRPr>
        </a:p>
        <a:p>
          <a:pPr lvl="0" algn="l"/>
          <a:r>
            <a:rPr lang="en-US" sz="1400">
              <a:latin typeface="Times New Roman" panose="02020603050405020304" pitchFamily="18" charset="0"/>
              <a:cs typeface="Times New Roman" panose="02020603050405020304" pitchFamily="18" charset="0"/>
            </a:rPr>
            <a:t>The total assets turnover ratio increased to 1.58 in 2019 from 1.5 in 2018, mainly due to increased net sales. However, the effects had been relatively mitigated due to increased capital expenditures. Inventory turnover has seen constant growth over the years, citing to company's efficient inventory management. Average collection and payment periods have fallen considerably and are even well below the industry average, which can be due to better credit management financed by short-term borrowing and revised contract policies for credit sales.</a:t>
          </a:r>
        </a:p>
        <a:p>
          <a:pPr lvl="0" algn="l"/>
          <a:endParaRPr lang="en-US" sz="1400">
            <a:latin typeface="Times New Roman" panose="02020603050405020304" pitchFamily="18" charset="0"/>
            <a:cs typeface="Times New Roman" panose="02020603050405020304" pitchFamily="18" charset="0"/>
          </a:endParaRPr>
        </a:p>
        <a:p>
          <a:pPr lvl="0" algn="l"/>
          <a:r>
            <a:rPr lang="en-US" sz="1400">
              <a:latin typeface="Times New Roman" panose="02020603050405020304" pitchFamily="18" charset="0"/>
              <a:cs typeface="Times New Roman" panose="02020603050405020304" pitchFamily="18" charset="0"/>
            </a:rPr>
            <a:t>Debt Ratios have seen a relatively abnormal increase and decrease over the years, such as Time Interest Ratio in 2016 was abnormally high due to very low financial charges - several borrowed funds had matured and paid back in total. Though the Debt-Asset Ratio remained constant at 3.28, the Fixed Payment Coverage Ratio experienced a fall, owing to new lease arrangements signed in 2019. These ratios are expected to remain considerably stable in the immediate future because of higher net sales figures due to Covid-19 induced spike in industry demand, which would be offset by planned investments in new plants and an increase in both short and long-term borrowing.</a:t>
          </a:r>
        </a:p>
        <a:p>
          <a:pPr lvl="0" algn="l"/>
          <a:endParaRPr lang="en-US" sz="1400">
            <a:latin typeface="Times New Roman" panose="02020603050405020304" pitchFamily="18" charset="0"/>
            <a:cs typeface="Times New Roman" panose="02020603050405020304" pitchFamily="18" charset="0"/>
          </a:endParaRPr>
        </a:p>
        <a:p>
          <a:pPr lvl="0" algn="l"/>
          <a:r>
            <a:rPr lang="en-US" sz="1400">
              <a:latin typeface="Times New Roman" panose="02020603050405020304" pitchFamily="18" charset="0"/>
              <a:cs typeface="Times New Roman" panose="02020603050405020304" pitchFamily="18" charset="0"/>
            </a:rPr>
            <a:t>Profitability ratios of the company, in general, have declined versus last year, mainly on account of rupee devaluation, which directly impacted the price of both imported - company imports 57% of its raw material - and locally purchased materials. Government grants and provisions were provided throughout the industry, which mitigated some of the effects of erosions in profit margins. Due to the impact of Covid-19 on world transit of goods, the expected cost of raw material is expected to rise along with a disruptive supply of imported and locally produced material due to unscheduled shutting down of selected industries in different parts of the world.</a:t>
          </a:r>
        </a:p>
        <a:p>
          <a:pPr lvl="0" algn="l"/>
          <a:endParaRPr lang="en-US" sz="1400">
            <a:latin typeface="Times New Roman" panose="02020603050405020304" pitchFamily="18" charset="0"/>
            <a:cs typeface="Times New Roman" panose="02020603050405020304" pitchFamily="18" charset="0"/>
          </a:endParaRPr>
        </a:p>
        <a:p>
          <a:pPr lvl="0" algn="l"/>
          <a:r>
            <a:rPr lang="en-US" sz="1400">
              <a:latin typeface="Times New Roman" panose="02020603050405020304" pitchFamily="18" charset="0"/>
              <a:cs typeface="Times New Roman" panose="02020603050405020304" pitchFamily="18" charset="0"/>
            </a:rPr>
            <a:t>Market ratios climbed significantly after having to fall by massive proportions through 2017 to 2018. The rise in Price/Ratios and Market/Book ratios is mainly due to an increase in the company's market share price, which was valued at Rs. 160.60 at the year-end as compared to Rs. 112.70 of 2018. Future market ratios are expected to rise in the near future as pharmaceutical companies' share prices are improving.</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49561</xdr:colOff>
      <xdr:row>0</xdr:row>
      <xdr:rowOff>24780</xdr:rowOff>
    </xdr:from>
    <xdr:ext cx="771035" cy="314334"/>
    <xdr:pic>
      <xdr:nvPicPr>
        <xdr:cNvPr id="4" name="Picture 1">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561" y="24780"/>
          <a:ext cx="771035" cy="32007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editAs="oneCell">
    <xdr:from>
      <xdr:col>0</xdr:col>
      <xdr:colOff>81321</xdr:colOff>
      <xdr:row>0</xdr:row>
      <xdr:rowOff>24095</xdr:rowOff>
    </xdr:from>
    <xdr:to>
      <xdr:col>0</xdr:col>
      <xdr:colOff>852356</xdr:colOff>
      <xdr:row>1</xdr:row>
      <xdr:rowOff>154725</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21" y="24095"/>
          <a:ext cx="771035" cy="31351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0</xdr:col>
      <xdr:colOff>49561</xdr:colOff>
      <xdr:row>0</xdr:row>
      <xdr:rowOff>24780</xdr:rowOff>
    </xdr:from>
    <xdr:ext cx="771035" cy="314334"/>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561" y="24780"/>
          <a:ext cx="771035" cy="314334"/>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60960</xdr:colOff>
          <xdr:row>32</xdr:row>
          <xdr:rowOff>7620</xdr:rowOff>
        </xdr:from>
        <xdr:to>
          <xdr:col>2</xdr:col>
          <xdr:colOff>22860</xdr:colOff>
          <xdr:row>35</xdr:row>
          <xdr:rowOff>30480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900-0000022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213360</xdr:colOff>
          <xdr:row>32</xdr:row>
          <xdr:rowOff>160020</xdr:rowOff>
        </xdr:from>
        <xdr:to>
          <xdr:col>2</xdr:col>
          <xdr:colOff>175260</xdr:colOff>
          <xdr:row>35</xdr:row>
          <xdr:rowOff>182880</xdr:rowOff>
        </xdr:to>
        <xdr:sp macro="" textlink="">
          <xdr:nvSpPr>
            <xdr:cNvPr id="11267" name="CommandButton3" hidden="1">
              <a:extLst>
                <a:ext uri="{63B3BB69-23CF-44E3-9099-C40C66FF867C}">
                  <a14:compatExt spid="_x0000_s11267"/>
                </a:ext>
                <a:ext uri="{FF2B5EF4-FFF2-40B4-BE49-F238E27FC236}">
                  <a16:creationId xmlns:a16="http://schemas.microsoft.com/office/drawing/2014/main" id="{00000000-0008-0000-0900-0000032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0</xdr:col>
      <xdr:colOff>49561</xdr:colOff>
      <xdr:row>0</xdr:row>
      <xdr:rowOff>24780</xdr:rowOff>
    </xdr:from>
    <xdr:ext cx="771035" cy="314334"/>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561" y="24780"/>
          <a:ext cx="771035" cy="314334"/>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60960</xdr:colOff>
          <xdr:row>30</xdr:row>
          <xdr:rowOff>38100</xdr:rowOff>
        </xdr:from>
        <xdr:to>
          <xdr:col>0</xdr:col>
          <xdr:colOff>2240280</xdr:colOff>
          <xdr:row>33</xdr:row>
          <xdr:rowOff>30480</xdr:rowOff>
        </xdr:to>
        <xdr:sp macro="" textlink="">
          <xdr:nvSpPr>
            <xdr:cNvPr id="9217" name="ReturnButton" hidden="1">
              <a:extLst>
                <a:ext uri="{63B3BB69-23CF-44E3-9099-C40C66FF867C}">
                  <a14:compatExt spid="_x0000_s9217"/>
                </a:ext>
                <a:ext uri="{FF2B5EF4-FFF2-40B4-BE49-F238E27FC236}">
                  <a16:creationId xmlns:a16="http://schemas.microsoft.com/office/drawing/2014/main" id="{00000000-0008-0000-0D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4</xdr:col>
      <xdr:colOff>227675</xdr:colOff>
      <xdr:row>1</xdr:row>
      <xdr:rowOff>123992</xdr:rowOff>
    </xdr:from>
    <xdr:to>
      <xdr:col>17</xdr:col>
      <xdr:colOff>434738</xdr:colOff>
      <xdr:row>36</xdr:row>
      <xdr:rowOff>67314</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2666075" y="420325"/>
          <a:ext cx="8131863" cy="6166322"/>
        </a:xfrm>
        <a:prstGeom prst="rect">
          <a:avLst/>
        </a:prstGeom>
        <a:solidFill>
          <a:schemeClr val="accent1">
            <a:lumMod val="20000"/>
            <a:lumOff val="80000"/>
          </a:schemeClr>
        </a:solidFill>
        <a:ln w="38100" cmpd="sng">
          <a:solidFill>
            <a:schemeClr val="tx1"/>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lvl="0" indent="0" algn="l"/>
          <a:r>
            <a:rPr lang="en-US" sz="1400">
              <a:solidFill>
                <a:schemeClr val="dk1"/>
              </a:solidFill>
              <a:latin typeface="Times New Roman" panose="02020603050405020304" pitchFamily="18" charset="0"/>
              <a:ea typeface="+mn-ea"/>
              <a:cs typeface="Times New Roman" panose="02020603050405020304" pitchFamily="18" charset="0"/>
            </a:rPr>
            <a:t>A difference can be observed between the price produced by the FCFs method, variable growth model, and the actual market price. Not only does this highlight the disequilibrium in which the stock market is operating but also how the meaning of the term “returns” may vary between investors.</a:t>
          </a:r>
        </a:p>
        <a:p>
          <a:pPr marL="0" lvl="0" indent="0" algn="l"/>
          <a:endParaRPr lang="en-US" sz="1400">
            <a:solidFill>
              <a:schemeClr val="dk1"/>
            </a:solidFill>
            <a:latin typeface="Times New Roman" panose="02020603050405020304" pitchFamily="18" charset="0"/>
            <a:ea typeface="+mn-ea"/>
            <a:cs typeface="Times New Roman" panose="02020603050405020304" pitchFamily="18" charset="0"/>
          </a:endParaRPr>
        </a:p>
        <a:p>
          <a:pPr marL="0" lvl="0" indent="0" algn="l"/>
          <a:r>
            <a:rPr lang="en-US" sz="1400">
              <a:solidFill>
                <a:schemeClr val="dk1"/>
              </a:solidFill>
              <a:latin typeface="Times New Roman" panose="02020603050405020304" pitchFamily="18" charset="0"/>
              <a:ea typeface="+mn-ea"/>
              <a:cs typeface="Times New Roman" panose="02020603050405020304" pitchFamily="18" charset="0"/>
            </a:rPr>
            <a:t>For more dividend oriented investors like Retirement investors, who would prefer to earn a passive income/”returns” on their investment in the form of dividends, this stock may be a viable one as the most-likely price produced by the variable growth model shows the stock to be undervalued (PKR 184.19 &gt; PKR 158.88). Although it is important to highlight that, historically, the dividend growth patterns were not as monotonic which is why Gordon growth model may also be employed to validate the result:</a:t>
          </a:r>
        </a:p>
        <a:p>
          <a:pPr marL="0" lvl="0" indent="0" algn="l"/>
          <a:r>
            <a:rPr lang="en-US" sz="1400">
              <a:solidFill>
                <a:schemeClr val="dk1"/>
              </a:solidFill>
              <a:latin typeface="Times New Roman" panose="02020603050405020304" pitchFamily="18" charset="0"/>
              <a:ea typeface="+mn-ea"/>
              <a:cs typeface="Times New Roman" panose="02020603050405020304" pitchFamily="18" charset="0"/>
            </a:rPr>
            <a:t>This may show the price to be (6.5/ (7.08%-4.2%)) PKR 227.27 or (6.5/ (7.08%-3.45%)) PKR 179.06. So as long as investors a) qualify dividends as the only form of return and b) expect the dividends to realize any growth higher than 3% in the future, they should buy the stock.</a:t>
          </a:r>
        </a:p>
        <a:p>
          <a:pPr marL="0" lvl="0" indent="0" algn="l"/>
          <a:endParaRPr lang="en-US" sz="1400">
            <a:solidFill>
              <a:schemeClr val="dk1"/>
            </a:solidFill>
            <a:latin typeface="Times New Roman" panose="02020603050405020304" pitchFamily="18" charset="0"/>
            <a:ea typeface="+mn-ea"/>
            <a:cs typeface="Times New Roman" panose="02020603050405020304" pitchFamily="18" charset="0"/>
          </a:endParaRPr>
        </a:p>
        <a:p>
          <a:pPr marL="0" lvl="0" indent="0" algn="l"/>
          <a:r>
            <a:rPr lang="en-US" sz="1400">
              <a:solidFill>
                <a:schemeClr val="dk1"/>
              </a:solidFill>
              <a:latin typeface="Times New Roman" panose="02020603050405020304" pitchFamily="18" charset="0"/>
              <a:ea typeface="+mn-ea"/>
              <a:cs typeface="Times New Roman" panose="02020603050405020304" pitchFamily="18" charset="0"/>
            </a:rPr>
            <a:t>It is important to note that dividends may not reflect the actual performance of the firm, especially when the firm has historically distributed great proportions of their net profits in dividends (as high as 96.7% on the net profit in 2017). Thus for more active investors like speculative investors who qualify ‘capital gains’ as their return: the FCF model would present a more appropriate picture. The FCF method labels the stock as overvalued (PKR 111 &lt; PKR 158.88) as the expected performance in the future is not impressive nor have the historical capital gains been very high. So for most of the investors, the stock is to be sold. </a:t>
          </a:r>
        </a:p>
        <a:p>
          <a:pPr marL="0" lvl="0" indent="0" algn="l"/>
          <a:endParaRPr lang="en-US" sz="1400">
            <a:solidFill>
              <a:schemeClr val="dk1"/>
            </a:solidFill>
            <a:latin typeface="Times New Roman" panose="02020603050405020304" pitchFamily="18" charset="0"/>
            <a:ea typeface="+mn-ea"/>
            <a:cs typeface="Times New Roman" panose="02020603050405020304" pitchFamily="18" charset="0"/>
          </a:endParaRPr>
        </a:p>
        <a:p>
          <a:pPr marL="0" lvl="0" indent="0" algn="l"/>
          <a:r>
            <a:rPr lang="en-US" sz="1400">
              <a:solidFill>
                <a:schemeClr val="dk1"/>
              </a:solidFill>
              <a:latin typeface="Times New Roman" panose="02020603050405020304" pitchFamily="18" charset="0"/>
              <a:ea typeface="+mn-ea"/>
              <a:cs typeface="Times New Roman" panose="02020603050405020304" pitchFamily="18" charset="0"/>
            </a:rPr>
            <a:t>For a minority of investors who buy shares to take part in the decision making process of the firm, this pricing information may not be the most relevant. Although every type of investor should also take into account the IMF bailout loan to Pakistan (2019): although, historically, the probability of this plan being executed (for the remaining 2.5 years) as demanded by the IMF is low enough to not be included even in our pessimistic model – if it does, the exchange rate may be shifted to a “floating” model, causing a sharp fall in the value of PKR and the cost of sales will rise piercing through the profits, due to our dependence on imports for raw materials. This is indeed extremely unlikely.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s://dps.psx.com.pk/company/GLAXO" TargetMode="External"/><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9.emf"/><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ontrol" Target="../activeX/activeX5.xml"/><Relationship Id="rId5" Type="http://schemas.openxmlformats.org/officeDocument/2006/relationships/image" Target="../media/image8.emf"/><Relationship Id="rId4"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3:Q47"/>
  <sheetViews>
    <sheetView tabSelected="1" zoomScale="87" zoomScaleNormal="83" workbookViewId="0">
      <selection activeCell="I30" sqref="I30:K32"/>
    </sheetView>
  </sheetViews>
  <sheetFormatPr defaultColWidth="8.88671875" defaultRowHeight="14.4" x14ac:dyDescent="0.3"/>
  <cols>
    <col min="1" max="1" width="20.6640625" style="261" customWidth="1"/>
    <col min="2" max="2" width="3.44140625" style="261" customWidth="1"/>
    <col min="3" max="3" width="7.44140625" style="261" customWidth="1"/>
    <col min="4" max="4" width="6" style="261" customWidth="1"/>
    <col min="5" max="5" width="5.88671875" style="261" customWidth="1"/>
    <col min="6" max="6" width="4.33203125" style="261" customWidth="1"/>
    <col min="7" max="7" width="1.33203125" style="261" customWidth="1"/>
    <col min="8" max="9" width="8.88671875" style="261"/>
    <col min="10" max="10" width="14.109375" style="261" bestFit="1" customWidth="1"/>
    <col min="11" max="11" width="26.88671875" style="262" customWidth="1"/>
    <col min="12" max="12" width="22.44140625" style="262" customWidth="1"/>
    <col min="13" max="13" width="26.88671875" style="261" bestFit="1" customWidth="1"/>
    <col min="14" max="14" width="23.33203125" style="261" customWidth="1"/>
    <col min="15" max="15" width="5.6640625" style="261" customWidth="1"/>
    <col min="16" max="16" width="15.6640625" style="261" bestFit="1" customWidth="1"/>
    <col min="17" max="16384" width="8.88671875" style="261"/>
  </cols>
  <sheetData>
    <row r="3" spans="2:14" x14ac:dyDescent="0.3">
      <c r="D3" s="260"/>
      <c r="E3" s="260"/>
    </row>
    <row r="4" spans="2:14" ht="17.399999999999999" x14ac:dyDescent="0.3">
      <c r="K4" s="412"/>
      <c r="L4" s="412"/>
      <c r="M4" s="263"/>
      <c r="N4" s="263"/>
    </row>
    <row r="5" spans="2:14" ht="15.6" x14ac:dyDescent="0.3">
      <c r="K5" s="265"/>
      <c r="L5" s="265"/>
      <c r="M5" s="263"/>
      <c r="N5" s="263"/>
    </row>
    <row r="6" spans="2:14" ht="15.6" x14ac:dyDescent="0.3">
      <c r="K6" s="265"/>
      <c r="N6" s="263"/>
    </row>
    <row r="7" spans="2:14" ht="15.6" x14ac:dyDescent="0.3">
      <c r="K7" s="266"/>
    </row>
    <row r="8" spans="2:14" ht="15.6" x14ac:dyDescent="0.3">
      <c r="K8" s="267"/>
    </row>
    <row r="9" spans="2:14" ht="15.6" x14ac:dyDescent="0.3">
      <c r="E9" s="264"/>
      <c r="K9" s="267"/>
    </row>
    <row r="10" spans="2:14" ht="15.6" x14ac:dyDescent="0.3">
      <c r="B10" s="264"/>
      <c r="C10" s="264"/>
      <c r="D10" s="264"/>
      <c r="E10" s="264"/>
      <c r="K10" s="267"/>
    </row>
    <row r="11" spans="2:14" ht="15.6" x14ac:dyDescent="0.3">
      <c r="B11" s="264"/>
      <c r="C11" s="264"/>
      <c r="D11" s="264"/>
      <c r="E11" s="264"/>
      <c r="F11" s="264"/>
      <c r="K11" s="267"/>
    </row>
    <row r="12" spans="2:14" ht="15.6" x14ac:dyDescent="0.3">
      <c r="B12" s="264"/>
      <c r="C12" s="264"/>
      <c r="D12" s="264"/>
      <c r="E12" s="264"/>
      <c r="F12" s="264"/>
      <c r="G12" s="263"/>
      <c r="K12" s="267"/>
    </row>
    <row r="13" spans="2:14" ht="15" thickBot="1" x14ac:dyDescent="0.35">
      <c r="B13" s="264"/>
      <c r="C13" s="264"/>
      <c r="D13" s="264"/>
      <c r="E13" s="264"/>
      <c r="F13" s="264"/>
      <c r="G13" s="263"/>
      <c r="K13" s="268"/>
    </row>
    <row r="14" spans="2:14" x14ac:dyDescent="0.3">
      <c r="B14" s="264"/>
      <c r="C14" s="264"/>
      <c r="D14" s="264"/>
      <c r="E14" s="264"/>
      <c r="F14" s="264"/>
      <c r="G14" s="264"/>
      <c r="M14" s="458" t="s">
        <v>298</v>
      </c>
      <c r="N14" s="459"/>
    </row>
    <row r="15" spans="2:14" ht="15" thickBot="1" x14ac:dyDescent="0.35">
      <c r="B15" s="264"/>
      <c r="C15" s="264"/>
      <c r="M15" s="460"/>
      <c r="N15" s="461"/>
    </row>
    <row r="16" spans="2:14" ht="7.95" customHeight="1" x14ac:dyDescent="0.3">
      <c r="B16" s="264"/>
      <c r="C16" s="264"/>
      <c r="M16" s="468" t="s">
        <v>302</v>
      </c>
      <c r="N16" s="469"/>
    </row>
    <row r="17" spans="1:17" ht="9.6" customHeight="1" x14ac:dyDescent="0.3">
      <c r="M17" s="468"/>
      <c r="N17" s="469"/>
    </row>
    <row r="18" spans="1:17" x14ac:dyDescent="0.3">
      <c r="M18" s="386"/>
      <c r="N18" s="386"/>
    </row>
    <row r="19" spans="1:17" x14ac:dyDescent="0.3">
      <c r="M19" s="386"/>
      <c r="N19" s="386"/>
    </row>
    <row r="20" spans="1:17" ht="15" thickBot="1" x14ac:dyDescent="0.35">
      <c r="M20" s="386"/>
      <c r="N20" s="386"/>
    </row>
    <row r="21" spans="1:17" ht="16.8" thickBot="1" x14ac:dyDescent="0.35">
      <c r="M21" s="386"/>
      <c r="N21" s="386"/>
      <c r="P21" s="462" t="s">
        <v>299</v>
      </c>
      <c r="Q21" s="463"/>
    </row>
    <row r="22" spans="1:17" x14ac:dyDescent="0.3">
      <c r="B22" s="417" t="s">
        <v>0</v>
      </c>
      <c r="C22" s="418"/>
      <c r="D22" s="418"/>
      <c r="E22" s="418"/>
      <c r="F22" s="418"/>
      <c r="G22" s="418"/>
      <c r="H22" s="418"/>
      <c r="I22" s="418"/>
      <c r="J22" s="418"/>
      <c r="K22" s="419"/>
    </row>
    <row r="23" spans="1:17" ht="15" thickBot="1" x14ac:dyDescent="0.35">
      <c r="B23" s="420"/>
      <c r="C23" s="421"/>
      <c r="D23" s="421"/>
      <c r="E23" s="421"/>
      <c r="F23" s="421"/>
      <c r="G23" s="421"/>
      <c r="H23" s="421"/>
      <c r="I23" s="421"/>
      <c r="J23" s="421"/>
      <c r="K23" s="422"/>
    </row>
    <row r="24" spans="1:17" x14ac:dyDescent="0.3">
      <c r="M24" s="387"/>
      <c r="N24" s="387"/>
    </row>
    <row r="25" spans="1:17" ht="15" thickBot="1" x14ac:dyDescent="0.35">
      <c r="M25" s="387"/>
      <c r="N25" s="387"/>
    </row>
    <row r="26" spans="1:17" ht="15.6" customHeight="1" thickBot="1" x14ac:dyDescent="0.35">
      <c r="B26" s="423" t="s">
        <v>292</v>
      </c>
      <c r="C26" s="424"/>
      <c r="D26" s="424"/>
      <c r="E26" s="424"/>
      <c r="F26" s="424"/>
      <c r="G26" s="424"/>
      <c r="H26" s="424"/>
      <c r="I26" s="424"/>
      <c r="J26" s="424"/>
      <c r="K26" s="425"/>
      <c r="M26" s="387"/>
      <c r="N26" s="387"/>
    </row>
    <row r="27" spans="1:17" ht="15" customHeight="1" thickBot="1" x14ac:dyDescent="0.35">
      <c r="B27" s="426"/>
      <c r="C27" s="427"/>
      <c r="D27" s="427"/>
      <c r="E27" s="427"/>
      <c r="F27" s="427"/>
      <c r="G27" s="427"/>
      <c r="H27" s="427"/>
      <c r="I27" s="427"/>
      <c r="J27" s="427"/>
      <c r="K27" s="428"/>
      <c r="M27" s="387"/>
      <c r="N27" s="387"/>
      <c r="P27" s="464" t="s">
        <v>300</v>
      </c>
      <c r="Q27" s="465"/>
    </row>
    <row r="29" spans="1:17" ht="15" thickBot="1" x14ac:dyDescent="0.35"/>
    <row r="30" spans="1:17" ht="16.95" customHeight="1" thickTop="1" x14ac:dyDescent="0.3">
      <c r="B30" s="436" t="s">
        <v>296</v>
      </c>
      <c r="C30" s="437"/>
      <c r="D30" s="437"/>
      <c r="E30" s="437"/>
      <c r="F30" s="437"/>
      <c r="G30" s="437"/>
      <c r="H30" s="438"/>
      <c r="I30" s="445">
        <v>158.88</v>
      </c>
      <c r="J30" s="446"/>
      <c r="K30" s="447"/>
      <c r="M30" s="388"/>
      <c r="N30" s="388"/>
    </row>
    <row r="31" spans="1:17" ht="12.6" customHeight="1" x14ac:dyDescent="0.3">
      <c r="A31" s="263"/>
      <c r="B31" s="439"/>
      <c r="C31" s="440"/>
      <c r="D31" s="440"/>
      <c r="E31" s="440"/>
      <c r="F31" s="440"/>
      <c r="G31" s="440"/>
      <c r="H31" s="441"/>
      <c r="I31" s="448"/>
      <c r="J31" s="449"/>
      <c r="K31" s="450"/>
      <c r="M31" s="388"/>
      <c r="N31" s="388"/>
      <c r="O31" s="355"/>
      <c r="P31" s="356"/>
    </row>
    <row r="32" spans="1:17" ht="15" customHeight="1" thickBot="1" x14ac:dyDescent="0.35">
      <c r="A32" s="263"/>
      <c r="B32" s="442"/>
      <c r="C32" s="443"/>
      <c r="D32" s="443"/>
      <c r="E32" s="443"/>
      <c r="F32" s="443"/>
      <c r="G32" s="443"/>
      <c r="H32" s="444"/>
      <c r="I32" s="451"/>
      <c r="J32" s="452"/>
      <c r="K32" s="453"/>
      <c r="L32" s="354"/>
      <c r="M32" s="388"/>
      <c r="N32" s="388"/>
    </row>
    <row r="33" spans="1:17" ht="16.2" customHeight="1" thickTop="1" thickBot="1" x14ac:dyDescent="0.35">
      <c r="A33" s="263"/>
      <c r="B33" s="455" t="s">
        <v>297</v>
      </c>
      <c r="C33" s="455"/>
      <c r="D33" s="455"/>
      <c r="E33" s="455"/>
      <c r="F33" s="455"/>
      <c r="G33" s="455"/>
      <c r="H33" s="455"/>
      <c r="I33" s="454" cm="1">
        <f t="array" aca="1" ref="I33" ca="1">IF(I30&lt;&gt;"",IF(AND(I33&lt;&gt;"",CELL("address")=ADDRESS(ROW(I30),COLUMN(I33))),NOW(),IF(CELL("address")&lt;&gt;ADDRESS(ROW(I30),COLUMN(I30)),I33,NOW())),"")</f>
        <v>44297.897341087963</v>
      </c>
      <c r="J33" s="454"/>
      <c r="K33" s="454"/>
      <c r="L33" s="268"/>
      <c r="M33" s="388"/>
      <c r="N33" s="388"/>
      <c r="P33" s="466" t="s">
        <v>301</v>
      </c>
      <c r="Q33" s="467"/>
    </row>
    <row r="34" spans="1:17" ht="16.8" thickTop="1" thickBot="1" x14ac:dyDescent="0.35">
      <c r="A34" s="352"/>
      <c r="B34" s="429" t="s">
        <v>295</v>
      </c>
      <c r="C34" s="429"/>
      <c r="D34" s="429"/>
      <c r="E34" s="429"/>
      <c r="F34" s="429"/>
      <c r="G34" s="429"/>
      <c r="H34" s="429"/>
      <c r="I34" s="429"/>
      <c r="J34" s="429"/>
      <c r="K34" s="429"/>
      <c r="L34" s="351"/>
    </row>
    <row r="35" spans="1:17" ht="15" thickTop="1" x14ac:dyDescent="0.3">
      <c r="A35" s="430" t="s">
        <v>294</v>
      </c>
      <c r="B35" s="431"/>
      <c r="C35" s="431"/>
      <c r="D35" s="431"/>
      <c r="E35" s="431"/>
      <c r="F35" s="431"/>
      <c r="G35" s="431"/>
      <c r="H35" s="431"/>
      <c r="I35" s="431"/>
      <c r="J35" s="431"/>
      <c r="K35" s="431"/>
      <c r="L35" s="432"/>
    </row>
    <row r="36" spans="1:17" ht="15" thickBot="1" x14ac:dyDescent="0.35">
      <c r="A36" s="433"/>
      <c r="B36" s="434"/>
      <c r="C36" s="434"/>
      <c r="D36" s="434"/>
      <c r="E36" s="434"/>
      <c r="F36" s="434"/>
      <c r="G36" s="434"/>
      <c r="H36" s="434"/>
      <c r="I36" s="434"/>
      <c r="J36" s="434"/>
      <c r="K36" s="434"/>
      <c r="L36" s="435"/>
    </row>
    <row r="37" spans="1:17" ht="15.6" thickTop="1" thickBot="1" x14ac:dyDescent="0.35"/>
    <row r="38" spans="1:17" x14ac:dyDescent="0.3">
      <c r="J38" s="353"/>
      <c r="K38" s="413" t="s">
        <v>1</v>
      </c>
      <c r="L38" s="414"/>
    </row>
    <row r="39" spans="1:17" ht="15" thickBot="1" x14ac:dyDescent="0.35">
      <c r="K39" s="415"/>
      <c r="L39" s="416"/>
    </row>
    <row r="40" spans="1:17" ht="14.4" customHeight="1" thickBot="1" x14ac:dyDescent="0.35">
      <c r="K40" s="456" t="s">
        <v>2</v>
      </c>
      <c r="L40" s="457"/>
    </row>
    <row r="41" spans="1:17" ht="15.6" x14ac:dyDescent="0.3">
      <c r="K41" s="255" t="s">
        <v>3</v>
      </c>
      <c r="L41" s="252">
        <v>3</v>
      </c>
    </row>
    <row r="42" spans="1:17" ht="16.2" thickBot="1" x14ac:dyDescent="0.35">
      <c r="K42" s="256" t="s">
        <v>4</v>
      </c>
      <c r="L42" s="257" t="s">
        <v>5</v>
      </c>
    </row>
    <row r="43" spans="1:17" ht="16.2" thickTop="1" x14ac:dyDescent="0.3">
      <c r="K43" s="253" t="s">
        <v>6</v>
      </c>
      <c r="L43" s="258">
        <v>24110088</v>
      </c>
    </row>
    <row r="44" spans="1:17" ht="15.6" x14ac:dyDescent="0.3">
      <c r="K44" s="253" t="s">
        <v>7</v>
      </c>
      <c r="L44" s="258">
        <v>24110227</v>
      </c>
    </row>
    <row r="45" spans="1:17" ht="15.6" x14ac:dyDescent="0.3">
      <c r="K45" s="253" t="s">
        <v>8</v>
      </c>
      <c r="L45" s="258">
        <v>24110177</v>
      </c>
    </row>
    <row r="46" spans="1:17" ht="15.6" x14ac:dyDescent="0.3">
      <c r="K46" s="253" t="s">
        <v>9</v>
      </c>
      <c r="L46" s="258">
        <v>24110090</v>
      </c>
    </row>
    <row r="47" spans="1:17" ht="16.2" thickBot="1" x14ac:dyDescent="0.35">
      <c r="K47" s="254" t="s">
        <v>10</v>
      </c>
      <c r="L47" s="259">
        <v>24110085</v>
      </c>
    </row>
  </sheetData>
  <mergeCells count="16">
    <mergeCell ref="K40:L40"/>
    <mergeCell ref="M14:N15"/>
    <mergeCell ref="P21:Q21"/>
    <mergeCell ref="P27:Q27"/>
    <mergeCell ref="P33:Q33"/>
    <mergeCell ref="M16:N17"/>
    <mergeCell ref="K4:L4"/>
    <mergeCell ref="K38:L39"/>
    <mergeCell ref="B22:K23"/>
    <mergeCell ref="B26:K27"/>
    <mergeCell ref="B34:K34"/>
    <mergeCell ref="A35:L36"/>
    <mergeCell ref="B30:H32"/>
    <mergeCell ref="I30:K32"/>
    <mergeCell ref="I33:K33"/>
    <mergeCell ref="B33:H33"/>
  </mergeCells>
  <phoneticPr fontId="2" type="noConversion"/>
  <hyperlinks>
    <hyperlink ref="A35" r:id="rId1" display="https://dps.psx.com.pk/company/GLAXO" xr:uid="{00000000-0004-0000-0000-000000000000}"/>
  </hyperlinks>
  <pageMargins left="0.7" right="0.7" top="0.75" bottom="0.75" header="0.3" footer="0.3"/>
  <pageSetup orientation="portrait" horizontalDpi="4294967295" verticalDpi="4294967295" r:id="rId2"/>
  <drawing r:id="rId3"/>
  <legacyDrawing r:id="rId4"/>
  <controls>
    <mc:AlternateContent xmlns:mc="http://schemas.openxmlformats.org/markup-compatibility/2006">
      <mc:Choice Requires="x14">
        <control shapeId="1036" r:id="rId5" name="PessimisticButton">
          <controlPr defaultSize="0" autoFill="0" autoLine="0" autoPict="0" r:id="rId6">
            <anchor moveWithCells="1">
              <from>
                <xdr:col>11</xdr:col>
                <xdr:colOff>1531620</xdr:colOff>
                <xdr:row>29</xdr:row>
                <xdr:rowOff>7620</xdr:rowOff>
              </from>
              <to>
                <xdr:col>13</xdr:col>
                <xdr:colOff>1584960</xdr:colOff>
                <xdr:row>32</xdr:row>
                <xdr:rowOff>175260</xdr:rowOff>
              </to>
            </anchor>
          </controlPr>
        </control>
      </mc:Choice>
      <mc:Fallback>
        <control shapeId="1036" r:id="rId5" name="PessimisticButton"/>
      </mc:Fallback>
    </mc:AlternateContent>
    <mc:AlternateContent xmlns:mc="http://schemas.openxmlformats.org/markup-compatibility/2006">
      <mc:Choice Requires="x14">
        <control shapeId="1034" r:id="rId7" name="OptimisticButton">
          <controlPr defaultSize="0" autoFill="0" autoLine="0" autoPict="0" r:id="rId8">
            <anchor moveWithCells="1">
              <from>
                <xdr:col>11</xdr:col>
                <xdr:colOff>1524000</xdr:colOff>
                <xdr:row>16</xdr:row>
                <xdr:rowOff>175260</xdr:rowOff>
              </from>
              <to>
                <xdr:col>14</xdr:col>
                <xdr:colOff>7620</xdr:colOff>
                <xdr:row>20</xdr:row>
                <xdr:rowOff>175260</xdr:rowOff>
              </to>
            </anchor>
          </controlPr>
        </control>
      </mc:Choice>
      <mc:Fallback>
        <control shapeId="1034" r:id="rId7" name="OptimisticButton"/>
      </mc:Fallback>
    </mc:AlternateContent>
    <mc:AlternateContent xmlns:mc="http://schemas.openxmlformats.org/markup-compatibility/2006">
      <mc:Choice Requires="x14">
        <control shapeId="1033" r:id="rId9" name="MostLikelyButton">
          <controlPr defaultSize="0" autoFill="0" autoLine="0" autoPict="0" r:id="rId10">
            <anchor moveWithCells="1">
              <from>
                <xdr:col>12</xdr:col>
                <xdr:colOff>7620</xdr:colOff>
                <xdr:row>23</xdr:row>
                <xdr:rowOff>0</xdr:rowOff>
              </from>
              <to>
                <xdr:col>14</xdr:col>
                <xdr:colOff>0</xdr:colOff>
                <xdr:row>26</xdr:row>
                <xdr:rowOff>160020</xdr:rowOff>
              </to>
            </anchor>
          </controlPr>
        </control>
      </mc:Choice>
      <mc:Fallback>
        <control shapeId="1033" r:id="rId9" name="MostLikelyButt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tabColor rgb="FFC00000"/>
  </sheetPr>
  <dimension ref="A1:K54"/>
  <sheetViews>
    <sheetView zoomScale="129" zoomScaleNormal="70" workbookViewId="0">
      <selection activeCell="G1" sqref="G1"/>
    </sheetView>
  </sheetViews>
  <sheetFormatPr defaultColWidth="8.88671875" defaultRowHeight="13.8" x14ac:dyDescent="0.25"/>
  <cols>
    <col min="1" max="1" width="47.44140625" style="3" bestFit="1" customWidth="1"/>
    <col min="2" max="2" width="19.33203125" style="3" bestFit="1" customWidth="1"/>
    <col min="3" max="3" width="20.6640625" style="3" bestFit="1" customWidth="1"/>
    <col min="4" max="4" width="17" style="3" bestFit="1" customWidth="1"/>
    <col min="5" max="6" width="17.33203125" style="3" bestFit="1" customWidth="1"/>
    <col min="7" max="9" width="8.88671875" style="3"/>
    <col min="10" max="10" width="46.33203125" style="3" bestFit="1" customWidth="1"/>
    <col min="11" max="11" width="16.6640625" style="3" bestFit="1" customWidth="1"/>
    <col min="12" max="13" width="20.33203125" style="3" bestFit="1" customWidth="1"/>
    <col min="14" max="14" width="22.5546875" style="3" bestFit="1" customWidth="1"/>
    <col min="15" max="16384" width="8.88671875" style="3"/>
  </cols>
  <sheetData>
    <row r="1" spans="1:6" ht="15.6" x14ac:dyDescent="0.3">
      <c r="A1" s="473" t="s">
        <v>11</v>
      </c>
      <c r="B1" s="474"/>
      <c r="C1" s="474"/>
      <c r="D1" s="474"/>
      <c r="E1" s="474"/>
      <c r="F1" s="475"/>
    </row>
    <row r="2" spans="1:6" ht="16.2" thickBot="1" x14ac:dyDescent="0.35">
      <c r="A2" s="476" t="s">
        <v>12</v>
      </c>
      <c r="B2" s="477"/>
      <c r="C2" s="477"/>
      <c r="D2" s="477"/>
      <c r="E2" s="477"/>
      <c r="F2" s="478"/>
    </row>
    <row r="3" spans="1:6" ht="15.6" x14ac:dyDescent="0.3">
      <c r="A3" s="53"/>
      <c r="B3" s="54">
        <v>2019</v>
      </c>
      <c r="C3" s="55">
        <v>2018</v>
      </c>
      <c r="D3" s="55">
        <v>2017</v>
      </c>
      <c r="E3" s="55">
        <v>2016</v>
      </c>
      <c r="F3" s="55">
        <v>2015</v>
      </c>
    </row>
    <row r="4" spans="1:6" ht="15.6" x14ac:dyDescent="0.3">
      <c r="A4" s="35" t="s">
        <v>13</v>
      </c>
      <c r="B4" s="39">
        <v>36581749000</v>
      </c>
      <c r="C4" s="222">
        <v>34006840000</v>
      </c>
      <c r="D4" s="40">
        <v>32773770000</v>
      </c>
      <c r="E4" s="226">
        <v>27563533000</v>
      </c>
      <c r="F4" s="46">
        <v>23821926000</v>
      </c>
    </row>
    <row r="5" spans="1:6" ht="15.6" x14ac:dyDescent="0.3">
      <c r="A5" s="35" t="s">
        <v>14</v>
      </c>
      <c r="B5" s="42">
        <v>-28870246000</v>
      </c>
      <c r="C5" s="223">
        <v>-25593240000</v>
      </c>
      <c r="D5" s="37">
        <v>-24095384000</v>
      </c>
      <c r="E5" s="227">
        <v>-20099062000</v>
      </c>
      <c r="F5" s="47">
        <v>-17397755000</v>
      </c>
    </row>
    <row r="6" spans="1:6" ht="15.6" x14ac:dyDescent="0.3">
      <c r="A6" s="35" t="s">
        <v>15</v>
      </c>
      <c r="B6" s="39">
        <f>SUM(B4:B5)</f>
        <v>7711503000</v>
      </c>
      <c r="C6" s="222">
        <f t="shared" ref="C6:F6" si="0">SUM(C4:C5)</f>
        <v>8413600000</v>
      </c>
      <c r="D6" s="40">
        <f t="shared" si="0"/>
        <v>8678386000</v>
      </c>
      <c r="E6" s="228">
        <f t="shared" si="0"/>
        <v>7464471000</v>
      </c>
      <c r="F6" s="41">
        <f t="shared" si="0"/>
        <v>6424171000</v>
      </c>
    </row>
    <row r="7" spans="1:6" ht="15.6" x14ac:dyDescent="0.3">
      <c r="A7" s="35" t="s">
        <v>16</v>
      </c>
      <c r="B7" s="42">
        <v>-3320549000</v>
      </c>
      <c r="C7" s="223">
        <v>-3571512000</v>
      </c>
      <c r="D7" s="37">
        <v>-3278792000</v>
      </c>
      <c r="E7" s="229">
        <v>-2816163000</v>
      </c>
      <c r="F7" s="43">
        <v>-2787942000</v>
      </c>
    </row>
    <row r="8" spans="1:6" ht="15.6" x14ac:dyDescent="0.3">
      <c r="A8" s="35" t="s">
        <v>17</v>
      </c>
      <c r="B8" s="42">
        <v>-1098946000</v>
      </c>
      <c r="C8" s="224">
        <v>-1076631000</v>
      </c>
      <c r="D8" s="37">
        <v>-982786000</v>
      </c>
      <c r="E8" s="227">
        <v>-944201000</v>
      </c>
      <c r="F8" s="43">
        <v>-971144000</v>
      </c>
    </row>
    <row r="9" spans="1:6" ht="15.6" x14ac:dyDescent="0.3">
      <c r="A9" s="35" t="s">
        <v>18</v>
      </c>
      <c r="B9" s="42">
        <v>-393563000</v>
      </c>
      <c r="C9" s="223">
        <v>-397582000</v>
      </c>
      <c r="D9" s="37">
        <v>-439456000</v>
      </c>
      <c r="E9" s="227">
        <v>-372750000</v>
      </c>
      <c r="F9" s="43">
        <v>-255635000</v>
      </c>
    </row>
    <row r="10" spans="1:6" ht="15.6" x14ac:dyDescent="0.3">
      <c r="A10" s="35" t="s">
        <v>19</v>
      </c>
      <c r="B10" s="42">
        <v>1991462000</v>
      </c>
      <c r="C10" s="223">
        <v>1471634000</v>
      </c>
      <c r="D10" s="37">
        <v>1036344000</v>
      </c>
      <c r="E10" s="227">
        <v>1040556000</v>
      </c>
      <c r="F10" s="48">
        <v>1159017000</v>
      </c>
    </row>
    <row r="11" spans="1:6" ht="15.6" x14ac:dyDescent="0.3">
      <c r="A11" s="35" t="s">
        <v>20</v>
      </c>
      <c r="B11" s="39">
        <f>SUM(B6:B10)</f>
        <v>4889907000</v>
      </c>
      <c r="C11" s="222">
        <f t="shared" ref="C11:F11" si="1">SUM(C6:C10)</f>
        <v>4839509000</v>
      </c>
      <c r="D11" s="40">
        <f t="shared" si="1"/>
        <v>5013696000</v>
      </c>
      <c r="E11" s="228">
        <f t="shared" si="1"/>
        <v>4371913000</v>
      </c>
      <c r="F11" s="41">
        <f t="shared" si="1"/>
        <v>3568467000</v>
      </c>
    </row>
    <row r="12" spans="1:6" ht="15.6" x14ac:dyDescent="0.3">
      <c r="A12" s="35" t="s">
        <v>21</v>
      </c>
      <c r="B12" s="42">
        <v>-289611000</v>
      </c>
      <c r="C12" s="223">
        <v>-147392000</v>
      </c>
      <c r="D12" s="37">
        <v>-88282000</v>
      </c>
      <c r="E12" s="229">
        <v>-19032000</v>
      </c>
      <c r="F12" s="43">
        <v>-54361000</v>
      </c>
    </row>
    <row r="13" spans="1:6" ht="15.6" x14ac:dyDescent="0.3">
      <c r="A13" s="35" t="s">
        <v>22</v>
      </c>
      <c r="B13" s="39">
        <f>SUM(B11:B12)</f>
        <v>4600296000</v>
      </c>
      <c r="C13" s="222">
        <f t="shared" ref="C13:F13" si="2">SUM(C11:C12)</f>
        <v>4692117000</v>
      </c>
      <c r="D13" s="40">
        <f t="shared" si="2"/>
        <v>4925414000</v>
      </c>
      <c r="E13" s="228">
        <f t="shared" si="2"/>
        <v>4352881000</v>
      </c>
      <c r="F13" s="41">
        <f t="shared" si="2"/>
        <v>3514106000</v>
      </c>
    </row>
    <row r="14" spans="1:6" ht="15.6" x14ac:dyDescent="0.3">
      <c r="A14" s="35" t="s">
        <v>23</v>
      </c>
      <c r="B14" s="42">
        <v>-1559173000</v>
      </c>
      <c r="C14" s="223">
        <v>-1460195000</v>
      </c>
      <c r="D14" s="37">
        <v>-1898180000</v>
      </c>
      <c r="E14" s="227">
        <v>-1707969000</v>
      </c>
      <c r="F14" s="43">
        <v>-1003380000</v>
      </c>
    </row>
    <row r="15" spans="1:6" ht="15.6" x14ac:dyDescent="0.3">
      <c r="A15" s="7" t="s">
        <v>24</v>
      </c>
      <c r="B15" s="44">
        <f>SUM(B13:B14)</f>
        <v>3041123000</v>
      </c>
      <c r="C15" s="225">
        <f t="shared" ref="C15:F15" si="3">SUM(C13:C14)</f>
        <v>3231922000</v>
      </c>
      <c r="D15" s="38">
        <f t="shared" si="3"/>
        <v>3027234000</v>
      </c>
      <c r="E15" s="230">
        <f t="shared" si="3"/>
        <v>2644912000</v>
      </c>
      <c r="F15" s="45">
        <f t="shared" si="3"/>
        <v>2510726000</v>
      </c>
    </row>
    <row r="16" spans="1:6" ht="15.6" x14ac:dyDescent="0.3">
      <c r="A16" s="5"/>
      <c r="B16" s="5"/>
      <c r="C16" s="5"/>
      <c r="D16" s="5"/>
      <c r="E16" s="5"/>
      <c r="F16" s="5"/>
    </row>
    <row r="17" spans="1:11" ht="15.6" x14ac:dyDescent="0.3">
      <c r="A17" s="5"/>
      <c r="B17" s="5"/>
      <c r="C17" s="5"/>
      <c r="D17" s="5"/>
      <c r="E17" s="5"/>
      <c r="F17" s="5"/>
    </row>
    <row r="18" spans="1:11" ht="15.6" x14ac:dyDescent="0.3">
      <c r="A18" s="5"/>
      <c r="B18" s="5"/>
      <c r="C18" s="5"/>
      <c r="D18" s="5"/>
      <c r="E18" s="5"/>
      <c r="F18" s="5"/>
    </row>
    <row r="19" spans="1:11" ht="15.6" x14ac:dyDescent="0.3">
      <c r="A19" s="5"/>
      <c r="B19" s="272"/>
      <c r="C19" s="25"/>
      <c r="D19" s="25"/>
      <c r="E19" s="25"/>
      <c r="F19" s="25"/>
    </row>
    <row r="26" spans="1:11" ht="15.6" x14ac:dyDescent="0.3">
      <c r="A26" s="482" t="s">
        <v>25</v>
      </c>
      <c r="B26" s="482"/>
      <c r="C26" s="482"/>
      <c r="D26" s="482"/>
      <c r="E26" s="482"/>
      <c r="F26" s="482"/>
    </row>
    <row r="27" spans="1:11" ht="16.2" x14ac:dyDescent="0.35">
      <c r="A27" s="56" t="s">
        <v>26</v>
      </c>
      <c r="B27" s="231">
        <v>19019851000</v>
      </c>
      <c r="C27" s="49">
        <v>18399570000</v>
      </c>
      <c r="D27" s="231">
        <v>14931984000</v>
      </c>
      <c r="E27" s="231">
        <v>13280953000</v>
      </c>
      <c r="F27" s="50">
        <v>10823187000</v>
      </c>
    </row>
    <row r="28" spans="1:11" ht="16.2" x14ac:dyDescent="0.35">
      <c r="A28" s="56" t="s">
        <v>27</v>
      </c>
      <c r="B28" s="249">
        <v>0.28999999999999998</v>
      </c>
      <c r="C28" s="249">
        <v>0.28999999999999998</v>
      </c>
      <c r="D28" s="249">
        <v>0.28999999999999998</v>
      </c>
      <c r="E28" s="249">
        <v>0.28999999999999998</v>
      </c>
      <c r="F28" s="249">
        <v>0.28999999999999998</v>
      </c>
    </row>
    <row r="29" spans="1:11" ht="16.2" x14ac:dyDescent="0.35">
      <c r="A29" s="270" t="s">
        <v>28</v>
      </c>
      <c r="B29" s="271">
        <v>2219716000</v>
      </c>
      <c r="C29" s="271">
        <v>1256854000</v>
      </c>
      <c r="D29" s="271">
        <v>2928614000</v>
      </c>
      <c r="E29" s="271">
        <v>1196529000</v>
      </c>
      <c r="F29" s="271">
        <v>1805288000</v>
      </c>
      <c r="G29" s="411"/>
      <c r="H29" s="411"/>
      <c r="I29" s="361"/>
      <c r="J29" s="411"/>
      <c r="K29" s="411"/>
    </row>
    <row r="30" spans="1:11" ht="16.2" x14ac:dyDescent="0.35">
      <c r="A30" s="56" t="s">
        <v>29</v>
      </c>
      <c r="B30" s="232">
        <v>6231000</v>
      </c>
      <c r="C30" s="51">
        <v>0</v>
      </c>
      <c r="D30" s="232">
        <v>0</v>
      </c>
      <c r="E30" s="52">
        <v>0</v>
      </c>
      <c r="F30" s="52">
        <v>0</v>
      </c>
    </row>
    <row r="32" spans="1:11" x14ac:dyDescent="0.25">
      <c r="F32" s="269"/>
    </row>
    <row r="33" spans="1:4" x14ac:dyDescent="0.25">
      <c r="A33" s="470" t="s">
        <v>30</v>
      </c>
      <c r="B33" s="471"/>
      <c r="C33" s="471"/>
      <c r="D33" s="472"/>
    </row>
    <row r="34" spans="1:4" x14ac:dyDescent="0.25">
      <c r="A34" s="57" t="s">
        <v>31</v>
      </c>
      <c r="B34" s="58" t="s">
        <v>32</v>
      </c>
      <c r="C34" s="57" t="s">
        <v>33</v>
      </c>
      <c r="D34" s="57" t="s">
        <v>34</v>
      </c>
    </row>
    <row r="35" spans="1:4" x14ac:dyDescent="0.25">
      <c r="A35" s="59" t="s">
        <v>35</v>
      </c>
      <c r="B35" s="63">
        <f>-'Historical Income Statements'!B5-'Historical Income Statements'!B36</f>
        <v>2946225000</v>
      </c>
      <c r="C35" s="233">
        <f>B35/SUM($B$35:$B$36)</f>
        <v>0.1020505679099513</v>
      </c>
      <c r="D35" s="64">
        <f>B35/'Historical Income Statements'!B4</f>
        <v>8.0538112051449479E-2</v>
      </c>
    </row>
    <row r="36" spans="1:4" x14ac:dyDescent="0.25">
      <c r="A36" s="59" t="s">
        <v>36</v>
      </c>
      <c r="B36" s="65">
        <f>19019851000+977079000+2229837000+7836000+3689418000</f>
        <v>25924021000</v>
      </c>
      <c r="C36" s="234">
        <f>B36/SUM($B$35:$B$36)</f>
        <v>0.89794943209004874</v>
      </c>
      <c r="D36" s="66">
        <f>B36/'Historical Income Statements'!B4</f>
        <v>0.70865996593000513</v>
      </c>
    </row>
    <row r="37" spans="1:4" x14ac:dyDescent="0.25">
      <c r="A37" s="57" t="s">
        <v>37</v>
      </c>
      <c r="B37" s="67">
        <f>B36+B35</f>
        <v>28870246000</v>
      </c>
      <c r="C37" s="235" t="s">
        <v>38</v>
      </c>
      <c r="D37" s="68">
        <f>SUM(D35:D36)</f>
        <v>0.78919807798145458</v>
      </c>
    </row>
    <row r="38" spans="1:4" x14ac:dyDescent="0.25">
      <c r="A38" s="57" t="s">
        <v>39</v>
      </c>
      <c r="B38" s="69"/>
      <c r="C38" s="236"/>
      <c r="D38" s="70">
        <f>CORREL($B$5:$F$5,'Sales Projections'!G3:G7)</f>
        <v>0.88718339962877824</v>
      </c>
    </row>
    <row r="39" spans="1:4" x14ac:dyDescent="0.25">
      <c r="A39" s="33"/>
      <c r="B39" s="33"/>
      <c r="C39" s="33"/>
      <c r="D39" s="33"/>
    </row>
    <row r="40" spans="1:4" x14ac:dyDescent="0.25">
      <c r="A40" s="479" t="s">
        <v>40</v>
      </c>
      <c r="B40" s="480"/>
      <c r="C40" s="480"/>
      <c r="D40" s="481"/>
    </row>
    <row r="41" spans="1:4" x14ac:dyDescent="0.25">
      <c r="A41" s="57" t="s">
        <v>31</v>
      </c>
      <c r="B41" s="57" t="s">
        <v>32</v>
      </c>
      <c r="C41" s="57" t="s">
        <v>41</v>
      </c>
      <c r="D41" s="57" t="s">
        <v>34</v>
      </c>
    </row>
    <row r="42" spans="1:4" x14ac:dyDescent="0.25">
      <c r="A42" s="60" t="s">
        <v>35</v>
      </c>
      <c r="B42" s="63">
        <f>-B7-B43</f>
        <v>1265909000</v>
      </c>
      <c r="C42" s="233">
        <f>B42/B44</f>
        <v>0.38123485002028279</v>
      </c>
      <c r="D42" s="64">
        <f>B42/'Historical Income Statements'!$B$4</f>
        <v>3.4604933733485513E-2</v>
      </c>
    </row>
    <row r="43" spans="1:4" x14ac:dyDescent="0.25">
      <c r="A43" s="59" t="s">
        <v>42</v>
      </c>
      <c r="B43" s="71">
        <f>1130665000+923975000</f>
        <v>2054640000</v>
      </c>
      <c r="C43" s="234">
        <f>B43/$B$44</f>
        <v>0.61876514997971721</v>
      </c>
      <c r="D43" s="66">
        <f>B43/'Historical Income Statements'!$B$4</f>
        <v>5.6165712579789445E-2</v>
      </c>
    </row>
    <row r="44" spans="1:4" x14ac:dyDescent="0.25">
      <c r="A44" s="57" t="s">
        <v>43</v>
      </c>
      <c r="B44" s="72">
        <f>SUM(B42:B43)</f>
        <v>3320549000</v>
      </c>
      <c r="C44" s="237" t="s">
        <v>38</v>
      </c>
      <c r="D44" s="68">
        <f>B44/'Historical Income Statements'!$B$4</f>
        <v>9.0770646313274958E-2</v>
      </c>
    </row>
    <row r="45" spans="1:4" x14ac:dyDescent="0.25">
      <c r="A45" s="57" t="s">
        <v>39</v>
      </c>
      <c r="B45" s="69"/>
      <c r="C45" s="236"/>
      <c r="D45" s="70">
        <f>CORREL(B7:$F$7,'Sales Projections'!$G$3:$G$7)</f>
        <v>0.72603045823488321</v>
      </c>
    </row>
    <row r="46" spans="1:4" x14ac:dyDescent="0.25">
      <c r="A46" s="33"/>
      <c r="B46" s="33"/>
      <c r="C46" s="33"/>
      <c r="D46" s="33"/>
    </row>
    <row r="47" spans="1:4" x14ac:dyDescent="0.25">
      <c r="A47" s="470" t="s">
        <v>44</v>
      </c>
      <c r="B47" s="471"/>
      <c r="C47" s="472"/>
      <c r="D47" s="34"/>
    </row>
    <row r="48" spans="1:4" x14ac:dyDescent="0.25">
      <c r="A48" s="57" t="s">
        <v>31</v>
      </c>
      <c r="B48" s="58" t="s">
        <v>45</v>
      </c>
      <c r="C48" s="57" t="s">
        <v>39</v>
      </c>
      <c r="D48" s="33"/>
    </row>
    <row r="49" spans="1:4" x14ac:dyDescent="0.25">
      <c r="A49" s="57" t="s">
        <v>46</v>
      </c>
      <c r="B49" s="238">
        <f>-B8</f>
        <v>1098946000</v>
      </c>
      <c r="C49" s="73">
        <f>CORREL($B$8:$F$8,'Sales Projections'!$G$3:$G$7)</f>
        <v>0.58514051134340028</v>
      </c>
      <c r="D49" s="33"/>
    </row>
    <row r="50" spans="1:4" x14ac:dyDescent="0.25">
      <c r="A50" s="33"/>
      <c r="B50" s="33"/>
      <c r="C50" s="33"/>
      <c r="D50" s="33"/>
    </row>
    <row r="51" spans="1:4" x14ac:dyDescent="0.25">
      <c r="A51" s="470" t="s">
        <v>47</v>
      </c>
      <c r="B51" s="471"/>
      <c r="C51" s="472"/>
      <c r="D51" s="34"/>
    </row>
    <row r="52" spans="1:4" x14ac:dyDescent="0.25">
      <c r="A52" s="57" t="s">
        <v>31</v>
      </c>
      <c r="B52" s="57" t="s">
        <v>45</v>
      </c>
      <c r="C52" s="58" t="s">
        <v>39</v>
      </c>
      <c r="D52" s="33"/>
    </row>
    <row r="53" spans="1:4" x14ac:dyDescent="0.25">
      <c r="A53" s="62" t="s">
        <v>48</v>
      </c>
      <c r="B53" s="238">
        <f>-B12</f>
        <v>289611000</v>
      </c>
      <c r="C53" s="73">
        <f>CORREL($B$8:$F$8,'Sales Projections'!$G$3:$G$7)</f>
        <v>0.58514051134340028</v>
      </c>
      <c r="D53" s="33"/>
    </row>
    <row r="54" spans="1:4" x14ac:dyDescent="0.25">
      <c r="A54" s="33"/>
      <c r="B54" s="33"/>
      <c r="C54" s="33"/>
      <c r="D54" s="33"/>
    </row>
  </sheetData>
  <mergeCells count="7">
    <mergeCell ref="A51:C51"/>
    <mergeCell ref="A1:F1"/>
    <mergeCell ref="A2:F2"/>
    <mergeCell ref="A40:D40"/>
    <mergeCell ref="A33:D33"/>
    <mergeCell ref="A47:C47"/>
    <mergeCell ref="A26:F26"/>
  </mergeCells>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rgb="FFC00000"/>
  </sheetPr>
  <dimension ref="A1:H220"/>
  <sheetViews>
    <sheetView zoomScale="129" zoomScaleNormal="136" workbookViewId="0">
      <selection activeCell="G1" sqref="G1"/>
    </sheetView>
  </sheetViews>
  <sheetFormatPr defaultColWidth="8.88671875" defaultRowHeight="14.4" x14ac:dyDescent="0.3"/>
  <cols>
    <col min="1" max="1" width="44" style="115" bestFit="1" customWidth="1"/>
    <col min="2" max="6" width="17.109375" style="115" bestFit="1" customWidth="1"/>
    <col min="7" max="7" width="8.88671875" style="115"/>
    <col min="8" max="8" width="13.33203125" style="115" bestFit="1" customWidth="1"/>
    <col min="9" max="16384" width="8.88671875" style="115"/>
  </cols>
  <sheetData>
    <row r="1" spans="1:8" ht="15.6" x14ac:dyDescent="0.3">
      <c r="A1" s="473" t="s">
        <v>11</v>
      </c>
      <c r="B1" s="474"/>
      <c r="C1" s="474"/>
      <c r="D1" s="474"/>
      <c r="E1" s="474"/>
      <c r="F1" s="475"/>
    </row>
    <row r="2" spans="1:8" ht="16.2" thickBot="1" x14ac:dyDescent="0.35">
      <c r="A2" s="476" t="s">
        <v>49</v>
      </c>
      <c r="B2" s="477"/>
      <c r="C2" s="477"/>
      <c r="D2" s="477"/>
      <c r="E2" s="477"/>
      <c r="F2" s="478"/>
    </row>
    <row r="3" spans="1:8" x14ac:dyDescent="0.3">
      <c r="A3" s="116"/>
      <c r="B3" s="117">
        <v>2019</v>
      </c>
      <c r="C3" s="117">
        <v>2018</v>
      </c>
      <c r="D3" s="117">
        <v>2017</v>
      </c>
      <c r="E3" s="117">
        <v>2016</v>
      </c>
      <c r="F3" s="117">
        <v>2015</v>
      </c>
    </row>
    <row r="4" spans="1:8" x14ac:dyDescent="0.3">
      <c r="A4" s="118" t="s">
        <v>50</v>
      </c>
      <c r="B4" s="119"/>
      <c r="C4" s="201"/>
      <c r="D4" s="120"/>
      <c r="E4" s="201"/>
      <c r="F4" s="121"/>
    </row>
    <row r="5" spans="1:8" x14ac:dyDescent="0.3">
      <c r="A5" s="122" t="s">
        <v>51</v>
      </c>
      <c r="B5" s="123"/>
      <c r="C5" s="202"/>
      <c r="D5" s="124"/>
      <c r="E5" s="202"/>
      <c r="F5" s="125"/>
    </row>
    <row r="6" spans="1:8" x14ac:dyDescent="0.3">
      <c r="A6" s="61" t="s">
        <v>52</v>
      </c>
      <c r="B6" s="123">
        <v>9480061000</v>
      </c>
      <c r="C6" s="204">
        <v>8921205000</v>
      </c>
      <c r="D6" s="124">
        <v>8865334000</v>
      </c>
      <c r="E6" s="204">
        <v>8318434000</v>
      </c>
      <c r="F6" s="126">
        <v>7154446000</v>
      </c>
    </row>
    <row r="7" spans="1:8" x14ac:dyDescent="0.3">
      <c r="A7" s="61" t="s">
        <v>53</v>
      </c>
      <c r="B7" s="123">
        <v>1041742000</v>
      </c>
      <c r="C7" s="202">
        <v>1082072000</v>
      </c>
      <c r="D7" s="124">
        <v>1039072000</v>
      </c>
      <c r="E7" s="204">
        <v>1039072000</v>
      </c>
      <c r="F7" s="126">
        <v>1039072000</v>
      </c>
    </row>
    <row r="8" spans="1:8" x14ac:dyDescent="0.3">
      <c r="A8" s="61" t="s">
        <v>54</v>
      </c>
      <c r="B8" s="123">
        <v>103224000</v>
      </c>
      <c r="C8" s="204">
        <v>80785000</v>
      </c>
      <c r="D8" s="124">
        <v>91422000</v>
      </c>
      <c r="E8" s="204">
        <v>49369000</v>
      </c>
      <c r="F8" s="126">
        <v>49212000</v>
      </c>
    </row>
    <row r="9" spans="1:8" x14ac:dyDescent="0.3">
      <c r="A9" s="61" t="s">
        <v>55</v>
      </c>
      <c r="B9" s="123">
        <v>22010000</v>
      </c>
      <c r="C9" s="204">
        <v>18260000</v>
      </c>
      <c r="D9" s="124">
        <v>22204000</v>
      </c>
      <c r="E9" s="204">
        <v>21955000</v>
      </c>
      <c r="F9" s="126">
        <v>21955000</v>
      </c>
    </row>
    <row r="10" spans="1:8" x14ac:dyDescent="0.3">
      <c r="A10" s="61"/>
      <c r="B10" s="119">
        <f>SUM(B6:B9)</f>
        <v>10647037000</v>
      </c>
      <c r="C10" s="201">
        <f t="shared" ref="C10:F10" si="0">SUM(C6:C9)</f>
        <v>10102322000</v>
      </c>
      <c r="D10" s="120">
        <f t="shared" si="0"/>
        <v>10018032000</v>
      </c>
      <c r="E10" s="201">
        <f t="shared" si="0"/>
        <v>9428830000</v>
      </c>
      <c r="F10" s="121">
        <f t="shared" si="0"/>
        <v>8264685000</v>
      </c>
    </row>
    <row r="11" spans="1:8" x14ac:dyDescent="0.3">
      <c r="A11" s="61"/>
      <c r="B11" s="123"/>
      <c r="C11" s="202"/>
      <c r="D11" s="124"/>
      <c r="E11" s="202"/>
      <c r="F11" s="125"/>
    </row>
    <row r="12" spans="1:8" x14ac:dyDescent="0.3">
      <c r="A12" s="122" t="s">
        <v>56</v>
      </c>
      <c r="B12" s="123"/>
      <c r="C12" s="202"/>
      <c r="D12" s="124"/>
      <c r="E12" s="202"/>
      <c r="F12" s="125"/>
      <c r="G12" s="144"/>
      <c r="H12" s="144"/>
    </row>
    <row r="13" spans="1:8" x14ac:dyDescent="0.3">
      <c r="A13" s="61" t="s">
        <v>57</v>
      </c>
      <c r="B13" s="123">
        <v>206202000</v>
      </c>
      <c r="C13" s="204">
        <v>270451000</v>
      </c>
      <c r="D13" s="124">
        <v>219613000</v>
      </c>
      <c r="E13" s="204">
        <v>201037000</v>
      </c>
      <c r="F13" s="125">
        <v>158564000</v>
      </c>
    </row>
    <row r="14" spans="1:8" x14ac:dyDescent="0.3">
      <c r="A14" s="61" t="s">
        <v>58</v>
      </c>
      <c r="B14" s="123">
        <v>6070253000</v>
      </c>
      <c r="C14" s="204">
        <v>5944050000</v>
      </c>
      <c r="D14" s="124">
        <v>6082218000</v>
      </c>
      <c r="E14" s="204">
        <v>5548083000</v>
      </c>
      <c r="F14" s="126">
        <v>4707918000</v>
      </c>
      <c r="G14" s="127"/>
    </row>
    <row r="15" spans="1:8" x14ac:dyDescent="0.3">
      <c r="A15" s="61" t="s">
        <v>59</v>
      </c>
      <c r="B15" s="123">
        <v>347465000</v>
      </c>
      <c r="C15" s="204">
        <v>132887000</v>
      </c>
      <c r="D15" s="124">
        <v>131920000</v>
      </c>
      <c r="E15" s="204">
        <v>134335000</v>
      </c>
      <c r="F15" s="126">
        <v>123223000</v>
      </c>
      <c r="G15" s="127"/>
    </row>
    <row r="16" spans="1:8" x14ac:dyDescent="0.3">
      <c r="A16" s="61" t="s">
        <v>60</v>
      </c>
      <c r="B16" s="123">
        <v>1126700000</v>
      </c>
      <c r="C16" s="204">
        <v>1594900000</v>
      </c>
      <c r="D16" s="124">
        <v>2362703000</v>
      </c>
      <c r="E16" s="204">
        <v>530413000</v>
      </c>
      <c r="F16" s="126">
        <v>328948000</v>
      </c>
    </row>
    <row r="17" spans="1:6" x14ac:dyDescent="0.3">
      <c r="A17" s="61" t="s">
        <v>61</v>
      </c>
      <c r="B17" s="123">
        <v>313979000</v>
      </c>
      <c r="C17" s="204">
        <v>247788000</v>
      </c>
      <c r="D17" s="124">
        <v>453116000</v>
      </c>
      <c r="E17" s="204">
        <v>177653000</v>
      </c>
      <c r="F17" s="126">
        <v>340491000</v>
      </c>
    </row>
    <row r="18" spans="1:6" x14ac:dyDescent="0.3">
      <c r="A18" s="61" t="s">
        <v>62</v>
      </c>
      <c r="B18" s="123">
        <v>1573000</v>
      </c>
      <c r="C18" s="204">
        <v>1321000</v>
      </c>
      <c r="D18" s="124">
        <v>3182000</v>
      </c>
      <c r="E18" s="204">
        <v>12074000</v>
      </c>
      <c r="F18" s="125">
        <v>10908000</v>
      </c>
    </row>
    <row r="19" spans="1:6" x14ac:dyDescent="0.3">
      <c r="A19" s="61" t="s">
        <v>63</v>
      </c>
      <c r="B19" s="123">
        <v>679876000</v>
      </c>
      <c r="C19" s="204">
        <v>50972000</v>
      </c>
      <c r="D19" s="124"/>
      <c r="E19" s="204">
        <v>54178000</v>
      </c>
      <c r="F19" s="125">
        <v>531579000</v>
      </c>
    </row>
    <row r="20" spans="1:6" x14ac:dyDescent="0.3">
      <c r="A20" s="61" t="s">
        <v>64</v>
      </c>
      <c r="B20" s="123">
        <v>30543000</v>
      </c>
      <c r="C20" s="204">
        <v>44271000</v>
      </c>
      <c r="D20" s="124">
        <v>30113000</v>
      </c>
      <c r="E20" s="204">
        <v>484945000</v>
      </c>
      <c r="F20" s="125">
        <v>109125000</v>
      </c>
    </row>
    <row r="21" spans="1:6" x14ac:dyDescent="0.3">
      <c r="A21" s="61" t="s">
        <v>65</v>
      </c>
      <c r="B21" s="123">
        <v>1105578000</v>
      </c>
      <c r="C21" s="204">
        <v>354534000</v>
      </c>
      <c r="D21" s="124">
        <v>251325000</v>
      </c>
      <c r="E21" s="202"/>
      <c r="F21" s="125">
        <v>313127000</v>
      </c>
    </row>
    <row r="22" spans="1:6" x14ac:dyDescent="0.3">
      <c r="A22" s="61" t="s">
        <v>66</v>
      </c>
      <c r="B22" s="123">
        <v>342863000</v>
      </c>
      <c r="C22" s="204">
        <v>247840000</v>
      </c>
      <c r="D22" s="124">
        <v>348810000</v>
      </c>
      <c r="E22" s="204">
        <v>793873000</v>
      </c>
      <c r="F22" s="125">
        <v>695586000</v>
      </c>
    </row>
    <row r="23" spans="1:6" x14ac:dyDescent="0.3">
      <c r="A23" s="61" t="s">
        <v>67</v>
      </c>
      <c r="B23" s="123">
        <v>2347033000</v>
      </c>
      <c r="C23" s="204">
        <v>3185011000</v>
      </c>
      <c r="D23" s="124">
        <v>1818900000</v>
      </c>
      <c r="E23" s="204">
        <v>3515638000</v>
      </c>
      <c r="F23" s="125">
        <v>2946612000</v>
      </c>
    </row>
    <row r="24" spans="1:6" x14ac:dyDescent="0.3">
      <c r="A24" s="61"/>
      <c r="B24" s="119">
        <f>SUM(B13:B23)</f>
        <v>12572065000</v>
      </c>
      <c r="C24" s="201">
        <f t="shared" ref="C24:F24" si="1">SUM(C13:C23)</f>
        <v>12074025000</v>
      </c>
      <c r="D24" s="120">
        <f t="shared" si="1"/>
        <v>11701900000</v>
      </c>
      <c r="E24" s="201">
        <f t="shared" si="1"/>
        <v>11452229000</v>
      </c>
      <c r="F24" s="121">
        <f t="shared" si="1"/>
        <v>10266081000</v>
      </c>
    </row>
    <row r="25" spans="1:6" x14ac:dyDescent="0.3">
      <c r="A25" s="61" t="s">
        <v>68</v>
      </c>
      <c r="B25" s="123"/>
      <c r="C25" s="202"/>
      <c r="D25" s="124">
        <v>154000000</v>
      </c>
      <c r="E25" s="204">
        <v>284048000</v>
      </c>
      <c r="F25" s="125">
        <v>1589416000</v>
      </c>
    </row>
    <row r="26" spans="1:6" ht="15" thickBot="1" x14ac:dyDescent="0.35">
      <c r="A26" s="118" t="s">
        <v>69</v>
      </c>
      <c r="B26" s="128">
        <f>SUM(B24,B10)</f>
        <v>23219102000</v>
      </c>
      <c r="C26" s="205">
        <f>SUM(C24,C10)</f>
        <v>22176347000</v>
      </c>
      <c r="D26" s="129">
        <f>SUM(D24,D10,D25)</f>
        <v>21873932000</v>
      </c>
      <c r="E26" s="205">
        <f>SUM(E24,E10,E25)</f>
        <v>21165107000</v>
      </c>
      <c r="F26" s="130">
        <f>SUM(F24,F10,F25)</f>
        <v>20120182000</v>
      </c>
    </row>
    <row r="27" spans="1:6" x14ac:dyDescent="0.3">
      <c r="A27" s="61"/>
      <c r="B27" s="123"/>
      <c r="C27" s="202"/>
      <c r="D27" s="124"/>
      <c r="E27" s="202"/>
      <c r="F27" s="125"/>
    </row>
    <row r="28" spans="1:6" x14ac:dyDescent="0.3">
      <c r="A28" s="118" t="s">
        <v>70</v>
      </c>
      <c r="B28" s="123"/>
      <c r="C28" s="202"/>
      <c r="D28" s="124"/>
      <c r="E28" s="202"/>
      <c r="F28" s="125"/>
    </row>
    <row r="29" spans="1:6" x14ac:dyDescent="0.3">
      <c r="A29" s="118" t="s">
        <v>71</v>
      </c>
      <c r="B29" s="123"/>
      <c r="C29" s="202"/>
      <c r="D29" s="124"/>
      <c r="E29" s="202"/>
      <c r="F29" s="125"/>
    </row>
    <row r="30" spans="1:6" x14ac:dyDescent="0.3">
      <c r="A30" s="61" t="s">
        <v>72</v>
      </c>
      <c r="B30" s="123">
        <v>3184672000</v>
      </c>
      <c r="C30" s="204">
        <v>3184672000</v>
      </c>
      <c r="D30" s="124">
        <v>3184672000</v>
      </c>
      <c r="E30" s="204">
        <v>3184672000</v>
      </c>
      <c r="F30" s="125">
        <v>3184672000</v>
      </c>
    </row>
    <row r="31" spans="1:6" x14ac:dyDescent="0.3">
      <c r="A31" s="61" t="s">
        <v>73</v>
      </c>
      <c r="B31" s="123">
        <v>12952724000</v>
      </c>
      <c r="C31" s="204">
        <v>12234778000</v>
      </c>
      <c r="D31" s="124">
        <v>10277185000</v>
      </c>
      <c r="E31" s="204">
        <v>10358113000</v>
      </c>
      <c r="F31" s="125">
        <v>9885539000</v>
      </c>
    </row>
    <row r="32" spans="1:6" x14ac:dyDescent="0.3">
      <c r="A32" s="61"/>
      <c r="B32" s="119">
        <f>SUM(B30:B31)</f>
        <v>16137396000</v>
      </c>
      <c r="C32" s="201">
        <f t="shared" ref="C32:F32" si="2">SUM(C30:C31)</f>
        <v>15419450000</v>
      </c>
      <c r="D32" s="120">
        <f t="shared" si="2"/>
        <v>13461857000</v>
      </c>
      <c r="E32" s="201">
        <f t="shared" si="2"/>
        <v>13542785000</v>
      </c>
      <c r="F32" s="121">
        <f t="shared" si="2"/>
        <v>13070211000</v>
      </c>
    </row>
    <row r="33" spans="1:6" x14ac:dyDescent="0.3">
      <c r="A33" s="61"/>
      <c r="B33" s="123"/>
      <c r="C33" s="202"/>
      <c r="D33" s="124"/>
      <c r="E33" s="202"/>
      <c r="F33" s="125"/>
    </row>
    <row r="34" spans="1:6" x14ac:dyDescent="0.3">
      <c r="A34" s="118" t="s">
        <v>74</v>
      </c>
      <c r="B34" s="123"/>
      <c r="C34" s="202"/>
      <c r="D34" s="124"/>
      <c r="E34" s="202"/>
      <c r="F34" s="125"/>
    </row>
    <row r="35" spans="1:6" x14ac:dyDescent="0.3">
      <c r="A35" s="122" t="s">
        <v>75</v>
      </c>
      <c r="B35" s="123"/>
      <c r="C35" s="202"/>
      <c r="D35" s="124"/>
      <c r="E35" s="202"/>
      <c r="F35" s="125"/>
    </row>
    <row r="36" spans="1:6" x14ac:dyDescent="0.3">
      <c r="A36" s="61" t="s">
        <v>76</v>
      </c>
      <c r="B36" s="123">
        <v>228437000</v>
      </c>
      <c r="C36" s="204">
        <v>370799000</v>
      </c>
      <c r="D36" s="124">
        <v>294031000</v>
      </c>
      <c r="E36" s="204">
        <v>78014000</v>
      </c>
      <c r="F36" s="125">
        <v>15861000</v>
      </c>
    </row>
    <row r="37" spans="1:6" x14ac:dyDescent="0.3">
      <c r="A37" s="61" t="s">
        <v>77</v>
      </c>
      <c r="B37" s="123">
        <v>645955000</v>
      </c>
      <c r="C37" s="204">
        <v>615887000</v>
      </c>
      <c r="D37" s="124">
        <v>536886000</v>
      </c>
      <c r="E37" s="204">
        <v>645171000</v>
      </c>
      <c r="F37" s="125">
        <v>630681000</v>
      </c>
    </row>
    <row r="38" spans="1:6" x14ac:dyDescent="0.3">
      <c r="A38" s="61" t="s">
        <v>78</v>
      </c>
      <c r="B38" s="123">
        <v>42564000</v>
      </c>
      <c r="C38" s="202"/>
      <c r="D38" s="124"/>
      <c r="E38" s="202"/>
      <c r="F38" s="125"/>
    </row>
    <row r="39" spans="1:6" x14ac:dyDescent="0.3">
      <c r="A39" s="61"/>
      <c r="B39" s="119">
        <f>SUM(B36:B38)</f>
        <v>916956000</v>
      </c>
      <c r="C39" s="201">
        <f t="shared" ref="C39:F39" si="3">SUM(C36:C38)</f>
        <v>986686000</v>
      </c>
      <c r="D39" s="120">
        <f t="shared" si="3"/>
        <v>830917000</v>
      </c>
      <c r="E39" s="201">
        <f t="shared" si="3"/>
        <v>723185000</v>
      </c>
      <c r="F39" s="121">
        <f t="shared" si="3"/>
        <v>646542000</v>
      </c>
    </row>
    <row r="40" spans="1:6" x14ac:dyDescent="0.3">
      <c r="A40" s="61"/>
      <c r="B40" s="123"/>
      <c r="C40" s="202"/>
      <c r="D40" s="124"/>
      <c r="E40" s="202"/>
      <c r="F40" s="125"/>
    </row>
    <row r="41" spans="1:6" x14ac:dyDescent="0.3">
      <c r="A41" s="122" t="s">
        <v>79</v>
      </c>
      <c r="B41" s="123"/>
      <c r="C41" s="202"/>
      <c r="D41" s="124"/>
      <c r="E41" s="202"/>
      <c r="F41" s="125"/>
    </row>
    <row r="42" spans="1:6" x14ac:dyDescent="0.3">
      <c r="A42" s="61" t="s">
        <v>80</v>
      </c>
      <c r="B42" s="123">
        <v>5977292000</v>
      </c>
      <c r="C42" s="204">
        <v>5607688000</v>
      </c>
      <c r="D42" s="124">
        <v>6556260000</v>
      </c>
      <c r="E42" s="204">
        <v>6246759000</v>
      </c>
      <c r="F42" s="125">
        <v>5255587000</v>
      </c>
    </row>
    <row r="43" spans="1:6" x14ac:dyDescent="0.3">
      <c r="A43" s="61" t="s">
        <v>81</v>
      </c>
      <c r="B43" s="123">
        <v>2353000</v>
      </c>
      <c r="C43" s="202"/>
      <c r="D43" s="124"/>
      <c r="E43" s="202"/>
      <c r="F43" s="125"/>
    </row>
    <row r="44" spans="1:6" x14ac:dyDescent="0.3">
      <c r="A44" s="61" t="s">
        <v>82</v>
      </c>
      <c r="B44" s="123"/>
      <c r="C44" s="202"/>
      <c r="D44" s="124">
        <v>542221000</v>
      </c>
      <c r="E44" s="204">
        <v>391727000</v>
      </c>
      <c r="F44" s="125"/>
    </row>
    <row r="45" spans="1:6" x14ac:dyDescent="0.3">
      <c r="A45" s="61" t="s">
        <v>83</v>
      </c>
      <c r="B45" s="123">
        <v>78762000</v>
      </c>
      <c r="C45" s="204">
        <v>74602000</v>
      </c>
      <c r="D45" s="124">
        <v>411771000</v>
      </c>
      <c r="E45" s="204">
        <v>192739000</v>
      </c>
      <c r="F45" s="125">
        <v>187113000</v>
      </c>
    </row>
    <row r="46" spans="1:6" x14ac:dyDescent="0.3">
      <c r="A46" s="61" t="s">
        <v>84</v>
      </c>
      <c r="B46" s="123">
        <v>8867000</v>
      </c>
      <c r="C46" s="202"/>
      <c r="D46" s="124"/>
      <c r="E46" s="204">
        <v>67912000</v>
      </c>
      <c r="F46" s="125">
        <v>960729000</v>
      </c>
    </row>
    <row r="47" spans="1:6" x14ac:dyDescent="0.3">
      <c r="A47" s="61" t="s">
        <v>85</v>
      </c>
      <c r="B47" s="123">
        <v>97476000</v>
      </c>
      <c r="C47" s="204">
        <v>87921000</v>
      </c>
      <c r="D47" s="124">
        <v>70906000</v>
      </c>
      <c r="E47" s="202"/>
      <c r="F47" s="125"/>
    </row>
    <row r="48" spans="1:6" x14ac:dyDescent="0.3">
      <c r="A48" s="61"/>
      <c r="B48" s="119">
        <f>SUM(B42:B47)</f>
        <v>6164750000</v>
      </c>
      <c r="C48" s="201">
        <f>SUM(C42:C47)</f>
        <v>5770211000</v>
      </c>
      <c r="D48" s="120">
        <f>SUM(D42:D47)</f>
        <v>7581158000</v>
      </c>
      <c r="E48" s="201">
        <f>SUM(E42:E47)</f>
        <v>6899137000</v>
      </c>
      <c r="F48" s="121">
        <f>SUM(F42:F47)</f>
        <v>6403429000</v>
      </c>
    </row>
    <row r="49" spans="1:6" x14ac:dyDescent="0.3">
      <c r="A49" s="61"/>
      <c r="B49" s="123"/>
      <c r="C49" s="202"/>
      <c r="D49" s="124"/>
      <c r="E49" s="202"/>
      <c r="F49" s="125"/>
    </row>
    <row r="50" spans="1:6" x14ac:dyDescent="0.3">
      <c r="A50" s="118" t="s">
        <v>86</v>
      </c>
      <c r="B50" s="123">
        <f>SUM(B48,B39)</f>
        <v>7081706000</v>
      </c>
      <c r="C50" s="202">
        <f>SUM(C48,C39)</f>
        <v>6756897000</v>
      </c>
      <c r="D50" s="124">
        <f>SUM(D48,D39)</f>
        <v>8412075000</v>
      </c>
      <c r="E50" s="202">
        <f>SUM(E48,E39)</f>
        <v>7622322000</v>
      </c>
      <c r="F50" s="125">
        <f>SUM(F48,F39)</f>
        <v>7049971000</v>
      </c>
    </row>
    <row r="51" spans="1:6" x14ac:dyDescent="0.3">
      <c r="A51" s="61"/>
      <c r="B51" s="123"/>
      <c r="C51" s="202"/>
      <c r="D51" s="124"/>
      <c r="E51" s="202"/>
      <c r="F51" s="125"/>
    </row>
    <row r="52" spans="1:6" x14ac:dyDescent="0.3">
      <c r="A52" s="118" t="s">
        <v>87</v>
      </c>
      <c r="B52" s="131">
        <f>SUM(B50,B32)</f>
        <v>23219102000</v>
      </c>
      <c r="C52" s="207">
        <f>SUM(C50,C32)</f>
        <v>22176347000</v>
      </c>
      <c r="D52" s="132">
        <f>SUM(D50,D32)</f>
        <v>21873932000</v>
      </c>
      <c r="E52" s="207">
        <f>SUM(E50,E32)</f>
        <v>21165107000</v>
      </c>
      <c r="F52" s="133">
        <f>SUM(F50,F32)</f>
        <v>20120182000</v>
      </c>
    </row>
    <row r="53" spans="1:6" x14ac:dyDescent="0.3">
      <c r="A53" s="3"/>
      <c r="B53" s="134"/>
      <c r="C53" s="134"/>
      <c r="D53" s="134"/>
      <c r="E53" s="134"/>
      <c r="F53" s="134"/>
    </row>
    <row r="54" spans="1:6" x14ac:dyDescent="0.3">
      <c r="A54" s="3"/>
      <c r="B54" s="134"/>
      <c r="C54" s="134"/>
      <c r="D54" s="134"/>
      <c r="E54" s="134"/>
      <c r="F54" s="134"/>
    </row>
    <row r="55" spans="1:6" x14ac:dyDescent="0.3">
      <c r="A55" s="3"/>
      <c r="B55" s="134"/>
      <c r="C55" s="134"/>
      <c r="D55" s="134"/>
      <c r="E55" s="134"/>
      <c r="F55" s="134"/>
    </row>
    <row r="56" spans="1:6" x14ac:dyDescent="0.3">
      <c r="A56" s="3"/>
      <c r="B56" s="134"/>
      <c r="C56" s="134"/>
      <c r="D56" s="134"/>
      <c r="E56" s="134"/>
      <c r="F56" s="134"/>
    </row>
    <row r="57" spans="1:6" x14ac:dyDescent="0.3">
      <c r="A57" s="483" t="s">
        <v>88</v>
      </c>
      <c r="B57" s="483"/>
      <c r="C57" s="483"/>
      <c r="D57" s="483"/>
      <c r="E57" s="483"/>
      <c r="F57" s="483"/>
    </row>
    <row r="58" spans="1:6" x14ac:dyDescent="0.3">
      <c r="A58" s="122" t="s">
        <v>89</v>
      </c>
      <c r="B58" s="135">
        <v>318467278</v>
      </c>
      <c r="C58" s="239">
        <v>318467278</v>
      </c>
      <c r="D58" s="136">
        <v>318467278</v>
      </c>
      <c r="E58" s="239">
        <v>318467278</v>
      </c>
      <c r="F58" s="137">
        <v>318467278</v>
      </c>
    </row>
    <row r="59" spans="1:6" x14ac:dyDescent="0.3">
      <c r="A59" s="122" t="s">
        <v>90</v>
      </c>
      <c r="B59" s="138">
        <v>160.6</v>
      </c>
      <c r="C59" s="240">
        <v>112.7</v>
      </c>
      <c r="D59" s="139">
        <v>167.9</v>
      </c>
      <c r="E59" s="240">
        <v>233.3</v>
      </c>
      <c r="F59" s="140">
        <v>220</v>
      </c>
    </row>
    <row r="60" spans="1:6" x14ac:dyDescent="0.3">
      <c r="A60" s="122" t="s">
        <v>91</v>
      </c>
      <c r="B60" s="138">
        <v>10</v>
      </c>
      <c r="C60" s="240">
        <v>10</v>
      </c>
      <c r="D60" s="139">
        <v>10</v>
      </c>
      <c r="E60" s="240">
        <v>10</v>
      </c>
      <c r="F60" s="140">
        <v>10</v>
      </c>
    </row>
    <row r="61" spans="1:6" x14ac:dyDescent="0.3">
      <c r="A61" s="122" t="s">
        <v>92</v>
      </c>
      <c r="B61" s="141">
        <f>869786000+84737000+124914000</f>
        <v>1079437000</v>
      </c>
      <c r="C61" s="241">
        <f>1134192000+194956000+134600000</f>
        <v>1463748000</v>
      </c>
      <c r="D61" s="142">
        <f>830825000+457785000</f>
        <v>1288610000</v>
      </c>
      <c r="E61" s="241">
        <f xml:space="preserve"> 1054023000+985705000+677855000+ 61224000</f>
        <v>2778807000</v>
      </c>
      <c r="F61" s="143">
        <f>1387903000+596784000+673477000+48404</f>
        <v>2658212404</v>
      </c>
    </row>
    <row r="62" spans="1:6" x14ac:dyDescent="0.3">
      <c r="B62" s="144"/>
      <c r="C62" s="144"/>
      <c r="D62" s="144"/>
      <c r="E62" s="144"/>
      <c r="F62" s="144"/>
    </row>
    <row r="63" spans="1:6" x14ac:dyDescent="0.3">
      <c r="B63" s="144"/>
      <c r="C63" s="144"/>
      <c r="D63" s="144"/>
      <c r="E63" s="144"/>
      <c r="F63" s="144"/>
    </row>
    <row r="64" spans="1:6" x14ac:dyDescent="0.3">
      <c r="B64" s="144"/>
      <c r="C64" s="144"/>
      <c r="D64" s="144"/>
      <c r="E64" s="144"/>
      <c r="F64" s="144"/>
    </row>
    <row r="65" spans="2:6" x14ac:dyDescent="0.3">
      <c r="B65" s="144"/>
      <c r="C65" s="144"/>
      <c r="D65" s="144"/>
      <c r="E65" s="144"/>
      <c r="F65" s="144"/>
    </row>
    <row r="66" spans="2:6" x14ac:dyDescent="0.3">
      <c r="B66" s="144"/>
      <c r="C66" s="144"/>
      <c r="D66" s="144"/>
      <c r="E66" s="144"/>
      <c r="F66" s="144"/>
    </row>
    <row r="67" spans="2:6" x14ac:dyDescent="0.3">
      <c r="B67" s="144"/>
      <c r="C67" s="144"/>
      <c r="D67" s="144"/>
      <c r="E67" s="144"/>
      <c r="F67" s="144"/>
    </row>
    <row r="68" spans="2:6" x14ac:dyDescent="0.3">
      <c r="B68" s="144"/>
      <c r="C68" s="144"/>
      <c r="D68" s="144"/>
      <c r="E68" s="144"/>
      <c r="F68" s="144"/>
    </row>
    <row r="69" spans="2:6" x14ac:dyDescent="0.3">
      <c r="B69" s="144"/>
      <c r="C69" s="144"/>
      <c r="D69" s="144"/>
      <c r="E69" s="144"/>
      <c r="F69" s="144"/>
    </row>
    <row r="70" spans="2:6" x14ac:dyDescent="0.3">
      <c r="B70" s="144"/>
      <c r="C70" s="144"/>
      <c r="D70" s="144"/>
      <c r="E70" s="144"/>
      <c r="F70" s="144"/>
    </row>
    <row r="71" spans="2:6" x14ac:dyDescent="0.3">
      <c r="B71" s="144"/>
      <c r="C71" s="144"/>
      <c r="D71" s="144"/>
      <c r="E71" s="144"/>
      <c r="F71" s="144"/>
    </row>
    <row r="72" spans="2:6" x14ac:dyDescent="0.3">
      <c r="B72" s="144"/>
      <c r="C72" s="144"/>
      <c r="D72" s="144"/>
      <c r="E72" s="144"/>
      <c r="F72" s="144"/>
    </row>
    <row r="73" spans="2:6" x14ac:dyDescent="0.3">
      <c r="B73" s="144"/>
      <c r="C73" s="144"/>
      <c r="D73" s="144"/>
      <c r="E73" s="144"/>
      <c r="F73" s="144"/>
    </row>
    <row r="74" spans="2:6" x14ac:dyDescent="0.3">
      <c r="B74" s="144"/>
      <c r="C74" s="144"/>
      <c r="D74" s="144"/>
      <c r="E74" s="144"/>
      <c r="F74" s="144"/>
    </row>
    <row r="75" spans="2:6" x14ac:dyDescent="0.3">
      <c r="B75" s="144"/>
      <c r="C75" s="144"/>
      <c r="D75" s="144"/>
      <c r="E75" s="144"/>
      <c r="F75" s="144"/>
    </row>
    <row r="76" spans="2:6" x14ac:dyDescent="0.3">
      <c r="B76" s="144"/>
      <c r="C76" s="144"/>
      <c r="D76" s="144"/>
      <c r="E76" s="144"/>
      <c r="F76" s="144"/>
    </row>
    <row r="77" spans="2:6" x14ac:dyDescent="0.3">
      <c r="B77" s="144"/>
      <c r="C77" s="144"/>
      <c r="D77" s="144"/>
      <c r="E77" s="144"/>
      <c r="F77" s="144"/>
    </row>
    <row r="78" spans="2:6" x14ac:dyDescent="0.3">
      <c r="B78" s="144"/>
      <c r="C78" s="144"/>
      <c r="D78" s="144"/>
      <c r="E78" s="144"/>
      <c r="F78" s="144"/>
    </row>
    <row r="79" spans="2:6" x14ac:dyDescent="0.3">
      <c r="B79" s="144"/>
      <c r="C79" s="144"/>
      <c r="D79" s="144"/>
      <c r="E79" s="144"/>
      <c r="F79" s="144"/>
    </row>
    <row r="80" spans="2:6" x14ac:dyDescent="0.3">
      <c r="B80" s="144"/>
      <c r="C80" s="144"/>
      <c r="D80" s="144"/>
      <c r="E80" s="144"/>
      <c r="F80" s="144"/>
    </row>
    <row r="81" spans="2:6" x14ac:dyDescent="0.3">
      <c r="B81" s="144"/>
      <c r="C81" s="144"/>
      <c r="D81" s="144"/>
      <c r="E81" s="144"/>
      <c r="F81" s="144"/>
    </row>
    <row r="82" spans="2:6" x14ac:dyDescent="0.3">
      <c r="B82" s="144"/>
      <c r="C82" s="144"/>
      <c r="D82" s="144"/>
      <c r="E82" s="144"/>
      <c r="F82" s="144"/>
    </row>
    <row r="83" spans="2:6" x14ac:dyDescent="0.3">
      <c r="B83" s="144"/>
      <c r="C83" s="144"/>
      <c r="D83" s="144"/>
      <c r="E83" s="144"/>
      <c r="F83" s="144"/>
    </row>
    <row r="84" spans="2:6" x14ac:dyDescent="0.3">
      <c r="B84" s="144"/>
      <c r="C84" s="144"/>
      <c r="D84" s="144"/>
      <c r="E84" s="144"/>
      <c r="F84" s="144"/>
    </row>
    <row r="85" spans="2:6" x14ac:dyDescent="0.3">
      <c r="B85" s="144"/>
      <c r="C85" s="144"/>
      <c r="D85" s="144"/>
      <c r="E85" s="144"/>
      <c r="F85" s="144"/>
    </row>
    <row r="86" spans="2:6" x14ac:dyDescent="0.3">
      <c r="B86" s="144"/>
      <c r="C86" s="144"/>
      <c r="D86" s="144"/>
      <c r="E86" s="144"/>
      <c r="F86" s="144"/>
    </row>
    <row r="87" spans="2:6" x14ac:dyDescent="0.3">
      <c r="B87" s="144"/>
      <c r="C87" s="144"/>
      <c r="D87" s="144"/>
      <c r="E87" s="144"/>
      <c r="F87" s="144"/>
    </row>
    <row r="88" spans="2:6" x14ac:dyDescent="0.3">
      <c r="B88" s="144"/>
      <c r="C88" s="144"/>
      <c r="D88" s="144"/>
      <c r="E88" s="144"/>
      <c r="F88" s="144"/>
    </row>
    <row r="89" spans="2:6" x14ac:dyDescent="0.3">
      <c r="B89" s="144"/>
      <c r="C89" s="144"/>
      <c r="D89" s="144"/>
      <c r="E89" s="144"/>
      <c r="F89" s="144"/>
    </row>
    <row r="90" spans="2:6" x14ac:dyDescent="0.3">
      <c r="B90" s="144"/>
      <c r="C90" s="144"/>
      <c r="D90" s="144"/>
      <c r="E90" s="144"/>
      <c r="F90" s="144"/>
    </row>
    <row r="91" spans="2:6" x14ac:dyDescent="0.3">
      <c r="B91" s="144"/>
      <c r="C91" s="144"/>
      <c r="D91" s="144"/>
      <c r="E91" s="144"/>
      <c r="F91" s="144"/>
    </row>
    <row r="92" spans="2:6" x14ac:dyDescent="0.3">
      <c r="B92" s="144"/>
      <c r="C92" s="144"/>
      <c r="D92" s="144"/>
      <c r="E92" s="144"/>
      <c r="F92" s="144"/>
    </row>
    <row r="93" spans="2:6" x14ac:dyDescent="0.3">
      <c r="B93" s="144"/>
      <c r="C93" s="144"/>
      <c r="D93" s="144"/>
      <c r="E93" s="144"/>
      <c r="F93" s="144"/>
    </row>
    <row r="94" spans="2:6" x14ac:dyDescent="0.3">
      <c r="B94" s="144"/>
      <c r="C94" s="144"/>
      <c r="D94" s="144"/>
      <c r="E94" s="144"/>
      <c r="F94" s="144"/>
    </row>
    <row r="95" spans="2:6" x14ac:dyDescent="0.3">
      <c r="B95" s="144"/>
      <c r="C95" s="144"/>
      <c r="D95" s="144"/>
      <c r="E95" s="144"/>
      <c r="F95" s="144"/>
    </row>
    <row r="96" spans="2:6" x14ac:dyDescent="0.3">
      <c r="B96" s="144"/>
      <c r="C96" s="144"/>
      <c r="D96" s="144"/>
      <c r="E96" s="144"/>
      <c r="F96" s="144"/>
    </row>
    <row r="97" spans="2:6" x14ac:dyDescent="0.3">
      <c r="B97" s="144"/>
      <c r="C97" s="144"/>
      <c r="D97" s="144"/>
      <c r="E97" s="144"/>
      <c r="F97" s="144"/>
    </row>
    <row r="98" spans="2:6" x14ac:dyDescent="0.3">
      <c r="B98" s="144"/>
      <c r="C98" s="144"/>
      <c r="D98" s="144"/>
      <c r="E98" s="144"/>
      <c r="F98" s="144"/>
    </row>
    <row r="99" spans="2:6" x14ac:dyDescent="0.3">
      <c r="B99" s="144"/>
      <c r="C99" s="144"/>
      <c r="D99" s="144"/>
      <c r="E99" s="144"/>
      <c r="F99" s="144"/>
    </row>
    <row r="100" spans="2:6" x14ac:dyDescent="0.3">
      <c r="B100" s="144"/>
      <c r="C100" s="144"/>
      <c r="D100" s="144"/>
      <c r="E100" s="144"/>
      <c r="F100" s="144"/>
    </row>
    <row r="101" spans="2:6" x14ac:dyDescent="0.3">
      <c r="B101" s="144"/>
      <c r="C101" s="144"/>
      <c r="D101" s="144"/>
      <c r="E101" s="144"/>
      <c r="F101" s="144"/>
    </row>
    <row r="102" spans="2:6" x14ac:dyDescent="0.3">
      <c r="B102" s="144"/>
      <c r="C102" s="144"/>
      <c r="D102" s="144"/>
      <c r="E102" s="144"/>
      <c r="F102" s="144"/>
    </row>
    <row r="103" spans="2:6" x14ac:dyDescent="0.3">
      <c r="B103" s="144"/>
      <c r="C103" s="144"/>
      <c r="D103" s="144"/>
      <c r="E103" s="144"/>
      <c r="F103" s="144"/>
    </row>
    <row r="104" spans="2:6" x14ac:dyDescent="0.3">
      <c r="B104" s="144"/>
      <c r="C104" s="144"/>
      <c r="D104" s="144"/>
      <c r="E104" s="144"/>
      <c r="F104" s="144"/>
    </row>
    <row r="105" spans="2:6" x14ac:dyDescent="0.3">
      <c r="B105" s="144"/>
      <c r="C105" s="144"/>
      <c r="D105" s="144"/>
      <c r="E105" s="144"/>
      <c r="F105" s="144"/>
    </row>
    <row r="106" spans="2:6" x14ac:dyDescent="0.3">
      <c r="B106" s="144"/>
      <c r="C106" s="144"/>
      <c r="D106" s="144"/>
      <c r="E106" s="144"/>
      <c r="F106" s="144"/>
    </row>
    <row r="107" spans="2:6" x14ac:dyDescent="0.3">
      <c r="B107" s="144"/>
      <c r="C107" s="144"/>
      <c r="D107" s="144"/>
      <c r="E107" s="144"/>
      <c r="F107" s="144"/>
    </row>
    <row r="108" spans="2:6" x14ac:dyDescent="0.3">
      <c r="B108" s="144"/>
      <c r="C108" s="144"/>
      <c r="D108" s="144"/>
      <c r="E108" s="144"/>
      <c r="F108" s="144"/>
    </row>
    <row r="109" spans="2:6" x14ac:dyDescent="0.3">
      <c r="B109" s="144"/>
      <c r="C109" s="144"/>
      <c r="D109" s="144"/>
      <c r="E109" s="144"/>
      <c r="F109" s="144"/>
    </row>
    <row r="110" spans="2:6" x14ac:dyDescent="0.3">
      <c r="B110" s="144"/>
      <c r="C110" s="144"/>
      <c r="D110" s="144"/>
      <c r="E110" s="144"/>
      <c r="F110" s="144"/>
    </row>
    <row r="111" spans="2:6" x14ac:dyDescent="0.3">
      <c r="B111" s="144"/>
      <c r="C111" s="144"/>
      <c r="D111" s="144"/>
      <c r="E111" s="144"/>
      <c r="F111" s="144"/>
    </row>
    <row r="112" spans="2:6" x14ac:dyDescent="0.3">
      <c r="B112" s="144"/>
      <c r="C112" s="144"/>
      <c r="D112" s="144"/>
      <c r="E112" s="144"/>
      <c r="F112" s="144"/>
    </row>
    <row r="113" spans="2:6" x14ac:dyDescent="0.3">
      <c r="B113" s="144"/>
      <c r="C113" s="144"/>
      <c r="D113" s="144"/>
      <c r="E113" s="144"/>
      <c r="F113" s="144"/>
    </row>
    <row r="114" spans="2:6" x14ac:dyDescent="0.3">
      <c r="B114" s="144"/>
      <c r="C114" s="144"/>
      <c r="D114" s="144"/>
      <c r="E114" s="144"/>
      <c r="F114" s="144"/>
    </row>
    <row r="115" spans="2:6" x14ac:dyDescent="0.3">
      <c r="B115" s="144"/>
      <c r="C115" s="144"/>
      <c r="D115" s="144"/>
      <c r="E115" s="144"/>
      <c r="F115" s="144"/>
    </row>
    <row r="116" spans="2:6" x14ac:dyDescent="0.3">
      <c r="B116" s="144"/>
      <c r="C116" s="144"/>
      <c r="D116" s="144"/>
      <c r="E116" s="144"/>
      <c r="F116" s="144"/>
    </row>
    <row r="117" spans="2:6" x14ac:dyDescent="0.3">
      <c r="B117" s="144"/>
      <c r="C117" s="144"/>
      <c r="D117" s="144"/>
      <c r="E117" s="144"/>
      <c r="F117" s="144"/>
    </row>
    <row r="118" spans="2:6" x14ac:dyDescent="0.3">
      <c r="B118" s="144"/>
      <c r="C118" s="144"/>
      <c r="D118" s="144"/>
      <c r="E118" s="144"/>
      <c r="F118" s="144"/>
    </row>
    <row r="119" spans="2:6" x14ac:dyDescent="0.3">
      <c r="B119" s="144"/>
      <c r="C119" s="144"/>
      <c r="D119" s="144"/>
      <c r="E119" s="144"/>
      <c r="F119" s="144"/>
    </row>
    <row r="120" spans="2:6" x14ac:dyDescent="0.3">
      <c r="B120" s="144"/>
      <c r="C120" s="144"/>
      <c r="D120" s="144"/>
      <c r="E120" s="144"/>
      <c r="F120" s="144"/>
    </row>
    <row r="121" spans="2:6" x14ac:dyDescent="0.3">
      <c r="B121" s="144"/>
      <c r="C121" s="144"/>
      <c r="D121" s="144"/>
      <c r="E121" s="144"/>
      <c r="F121" s="144"/>
    </row>
    <row r="122" spans="2:6" x14ac:dyDescent="0.3">
      <c r="B122" s="144"/>
      <c r="C122" s="144"/>
      <c r="D122" s="144"/>
      <c r="E122" s="144"/>
      <c r="F122" s="144"/>
    </row>
    <row r="123" spans="2:6" x14ac:dyDescent="0.3">
      <c r="B123" s="144"/>
      <c r="C123" s="144"/>
      <c r="D123" s="144"/>
      <c r="E123" s="144"/>
      <c r="F123" s="144"/>
    </row>
    <row r="124" spans="2:6" x14ac:dyDescent="0.3">
      <c r="B124" s="144"/>
      <c r="C124" s="144"/>
      <c r="D124" s="144"/>
      <c r="E124" s="144"/>
      <c r="F124" s="144"/>
    </row>
    <row r="125" spans="2:6" x14ac:dyDescent="0.3">
      <c r="B125" s="144"/>
      <c r="C125" s="144"/>
      <c r="D125" s="144"/>
      <c r="E125" s="144"/>
      <c r="F125" s="144"/>
    </row>
    <row r="126" spans="2:6" x14ac:dyDescent="0.3">
      <c r="B126" s="144"/>
      <c r="C126" s="144"/>
      <c r="D126" s="144"/>
      <c r="E126" s="144"/>
      <c r="F126" s="144"/>
    </row>
    <row r="127" spans="2:6" x14ac:dyDescent="0.3">
      <c r="B127" s="144"/>
      <c r="C127" s="144"/>
      <c r="D127" s="144"/>
      <c r="E127" s="144"/>
      <c r="F127" s="144"/>
    </row>
    <row r="128" spans="2:6" x14ac:dyDescent="0.3">
      <c r="B128" s="144"/>
      <c r="C128" s="144"/>
      <c r="D128" s="144"/>
      <c r="E128" s="144"/>
      <c r="F128" s="144"/>
    </row>
    <row r="129" spans="2:6" x14ac:dyDescent="0.3">
      <c r="B129" s="144"/>
      <c r="C129" s="144"/>
      <c r="D129" s="144"/>
      <c r="E129" s="144"/>
      <c r="F129" s="144"/>
    </row>
    <row r="130" spans="2:6" x14ac:dyDescent="0.3">
      <c r="B130" s="144"/>
      <c r="C130" s="144"/>
      <c r="D130" s="144"/>
      <c r="E130" s="144"/>
      <c r="F130" s="144"/>
    </row>
    <row r="131" spans="2:6" x14ac:dyDescent="0.3">
      <c r="B131" s="144"/>
      <c r="C131" s="144"/>
      <c r="D131" s="144"/>
      <c r="E131" s="144"/>
      <c r="F131" s="144"/>
    </row>
    <row r="132" spans="2:6" x14ac:dyDescent="0.3">
      <c r="B132" s="144"/>
      <c r="C132" s="144"/>
      <c r="D132" s="144"/>
      <c r="E132" s="144"/>
      <c r="F132" s="144"/>
    </row>
    <row r="133" spans="2:6" x14ac:dyDescent="0.3">
      <c r="B133" s="144"/>
      <c r="C133" s="144"/>
      <c r="D133" s="144"/>
      <c r="E133" s="144"/>
      <c r="F133" s="144"/>
    </row>
    <row r="134" spans="2:6" x14ac:dyDescent="0.3">
      <c r="B134" s="144"/>
      <c r="C134" s="144"/>
      <c r="D134" s="144"/>
      <c r="E134" s="144"/>
      <c r="F134" s="144"/>
    </row>
    <row r="135" spans="2:6" x14ac:dyDescent="0.3">
      <c r="B135" s="144"/>
      <c r="C135" s="144"/>
      <c r="D135" s="144"/>
      <c r="E135" s="144"/>
      <c r="F135" s="144"/>
    </row>
    <row r="136" spans="2:6" x14ac:dyDescent="0.3">
      <c r="B136" s="144"/>
      <c r="C136" s="144"/>
      <c r="D136" s="144"/>
      <c r="E136" s="144"/>
      <c r="F136" s="144"/>
    </row>
    <row r="137" spans="2:6" x14ac:dyDescent="0.3">
      <c r="B137" s="144"/>
      <c r="C137" s="144"/>
      <c r="D137" s="144"/>
      <c r="E137" s="144"/>
      <c r="F137" s="144"/>
    </row>
    <row r="138" spans="2:6" x14ac:dyDescent="0.3">
      <c r="B138" s="144"/>
      <c r="C138" s="144"/>
      <c r="D138" s="144"/>
      <c r="E138" s="144"/>
      <c r="F138" s="144"/>
    </row>
    <row r="139" spans="2:6" x14ac:dyDescent="0.3">
      <c r="B139" s="144"/>
      <c r="C139" s="144"/>
      <c r="D139" s="144"/>
      <c r="E139" s="144"/>
      <c r="F139" s="144"/>
    </row>
    <row r="140" spans="2:6" x14ac:dyDescent="0.3">
      <c r="B140" s="144"/>
      <c r="C140" s="144"/>
      <c r="D140" s="144"/>
      <c r="E140" s="144"/>
      <c r="F140" s="144"/>
    </row>
    <row r="141" spans="2:6" x14ac:dyDescent="0.3">
      <c r="B141" s="144"/>
      <c r="C141" s="144"/>
      <c r="D141" s="144"/>
      <c r="E141" s="144"/>
      <c r="F141" s="144"/>
    </row>
    <row r="142" spans="2:6" x14ac:dyDescent="0.3">
      <c r="B142" s="144"/>
      <c r="C142" s="144"/>
      <c r="D142" s="144"/>
      <c r="E142" s="144"/>
      <c r="F142" s="144"/>
    </row>
    <row r="143" spans="2:6" x14ac:dyDescent="0.3">
      <c r="B143" s="144"/>
      <c r="C143" s="144"/>
      <c r="D143" s="144"/>
      <c r="E143" s="144"/>
      <c r="F143" s="144"/>
    </row>
    <row r="144" spans="2:6" x14ac:dyDescent="0.3">
      <c r="B144" s="144"/>
      <c r="C144" s="144"/>
      <c r="D144" s="144"/>
      <c r="E144" s="144"/>
      <c r="F144" s="144"/>
    </row>
    <row r="145" spans="2:6" x14ac:dyDescent="0.3">
      <c r="B145" s="144"/>
      <c r="C145" s="144"/>
      <c r="D145" s="144"/>
      <c r="E145" s="144"/>
      <c r="F145" s="144"/>
    </row>
    <row r="146" spans="2:6" x14ac:dyDescent="0.3">
      <c r="B146" s="144"/>
      <c r="C146" s="144"/>
      <c r="D146" s="144"/>
      <c r="E146" s="144"/>
      <c r="F146" s="144"/>
    </row>
    <row r="147" spans="2:6" x14ac:dyDescent="0.3">
      <c r="B147" s="144"/>
      <c r="C147" s="144"/>
      <c r="D147" s="144"/>
      <c r="E147" s="144"/>
      <c r="F147" s="144"/>
    </row>
    <row r="148" spans="2:6" x14ac:dyDescent="0.3">
      <c r="B148" s="144"/>
      <c r="C148" s="144"/>
      <c r="D148" s="144"/>
      <c r="E148" s="144"/>
      <c r="F148" s="144"/>
    </row>
    <row r="149" spans="2:6" x14ac:dyDescent="0.3">
      <c r="B149" s="144"/>
      <c r="C149" s="144"/>
      <c r="D149" s="144"/>
      <c r="E149" s="144"/>
      <c r="F149" s="144"/>
    </row>
    <row r="150" spans="2:6" x14ac:dyDescent="0.3">
      <c r="B150" s="144"/>
      <c r="C150" s="144"/>
      <c r="D150" s="144"/>
      <c r="E150" s="144"/>
      <c r="F150" s="144"/>
    </row>
    <row r="151" spans="2:6" x14ac:dyDescent="0.3">
      <c r="B151" s="144"/>
      <c r="C151" s="144"/>
      <c r="D151" s="144"/>
      <c r="E151" s="144"/>
      <c r="F151" s="144"/>
    </row>
    <row r="152" spans="2:6" x14ac:dyDescent="0.3">
      <c r="B152" s="144"/>
      <c r="C152" s="144"/>
      <c r="D152" s="144"/>
      <c r="E152" s="144"/>
      <c r="F152" s="144"/>
    </row>
    <row r="153" spans="2:6" x14ac:dyDescent="0.3">
      <c r="B153" s="144"/>
      <c r="C153" s="144"/>
      <c r="D153" s="144"/>
      <c r="E153" s="144"/>
      <c r="F153" s="144"/>
    </row>
    <row r="154" spans="2:6" x14ac:dyDescent="0.3">
      <c r="B154" s="144"/>
      <c r="C154" s="144"/>
      <c r="D154" s="144"/>
      <c r="E154" s="144"/>
      <c r="F154" s="144"/>
    </row>
    <row r="155" spans="2:6" x14ac:dyDescent="0.3">
      <c r="B155" s="144"/>
      <c r="C155" s="144"/>
      <c r="D155" s="144"/>
      <c r="E155" s="144"/>
      <c r="F155" s="144"/>
    </row>
    <row r="156" spans="2:6" x14ac:dyDescent="0.3">
      <c r="B156" s="144"/>
      <c r="C156" s="144"/>
      <c r="D156" s="144"/>
      <c r="E156" s="144"/>
      <c r="F156" s="144"/>
    </row>
    <row r="157" spans="2:6" x14ac:dyDescent="0.3">
      <c r="B157" s="144"/>
      <c r="C157" s="144"/>
      <c r="D157" s="144"/>
      <c r="E157" s="144"/>
      <c r="F157" s="144"/>
    </row>
    <row r="158" spans="2:6" x14ac:dyDescent="0.3">
      <c r="B158" s="144"/>
      <c r="C158" s="144"/>
      <c r="D158" s="144"/>
      <c r="E158" s="144"/>
      <c r="F158" s="144"/>
    </row>
    <row r="159" spans="2:6" x14ac:dyDescent="0.3">
      <c r="B159" s="144"/>
      <c r="C159" s="144"/>
      <c r="D159" s="144"/>
      <c r="E159" s="144"/>
      <c r="F159" s="144"/>
    </row>
    <row r="160" spans="2:6" x14ac:dyDescent="0.3">
      <c r="B160" s="144"/>
      <c r="C160" s="144"/>
      <c r="D160" s="144"/>
      <c r="E160" s="144"/>
      <c r="F160" s="144"/>
    </row>
    <row r="161" spans="2:6" x14ac:dyDescent="0.3">
      <c r="B161" s="144"/>
      <c r="C161" s="144"/>
      <c r="D161" s="144"/>
      <c r="E161" s="144"/>
      <c r="F161" s="144"/>
    </row>
    <row r="162" spans="2:6" x14ac:dyDescent="0.3">
      <c r="B162" s="144"/>
      <c r="C162" s="144"/>
      <c r="D162" s="144"/>
      <c r="E162" s="144"/>
      <c r="F162" s="144"/>
    </row>
    <row r="163" spans="2:6" x14ac:dyDescent="0.3">
      <c r="B163" s="144"/>
      <c r="C163" s="144"/>
      <c r="D163" s="144"/>
      <c r="E163" s="144"/>
      <c r="F163" s="144"/>
    </row>
    <row r="164" spans="2:6" x14ac:dyDescent="0.3">
      <c r="B164" s="144"/>
      <c r="C164" s="144"/>
      <c r="D164" s="144"/>
      <c r="E164" s="144"/>
      <c r="F164" s="144"/>
    </row>
    <row r="165" spans="2:6" x14ac:dyDescent="0.3">
      <c r="B165" s="144"/>
      <c r="C165" s="144"/>
      <c r="D165" s="144"/>
      <c r="E165" s="144"/>
      <c r="F165" s="144"/>
    </row>
    <row r="166" spans="2:6" x14ac:dyDescent="0.3">
      <c r="B166" s="144"/>
      <c r="C166" s="144"/>
      <c r="D166" s="144"/>
      <c r="E166" s="144"/>
      <c r="F166" s="144"/>
    </row>
    <row r="167" spans="2:6" x14ac:dyDescent="0.3">
      <c r="B167" s="144"/>
      <c r="C167" s="144"/>
      <c r="D167" s="144"/>
      <c r="E167" s="144"/>
      <c r="F167" s="144"/>
    </row>
    <row r="168" spans="2:6" x14ac:dyDescent="0.3">
      <c r="B168" s="144"/>
      <c r="C168" s="144"/>
      <c r="D168" s="144"/>
      <c r="E168" s="144"/>
      <c r="F168" s="144"/>
    </row>
    <row r="169" spans="2:6" x14ac:dyDescent="0.3">
      <c r="B169" s="144"/>
      <c r="C169" s="144"/>
      <c r="D169" s="144"/>
      <c r="E169" s="144"/>
      <c r="F169" s="144"/>
    </row>
    <row r="170" spans="2:6" x14ac:dyDescent="0.3">
      <c r="B170" s="144"/>
      <c r="C170" s="144"/>
      <c r="D170" s="144"/>
      <c r="E170" s="144"/>
      <c r="F170" s="144"/>
    </row>
    <row r="171" spans="2:6" x14ac:dyDescent="0.3">
      <c r="B171" s="144"/>
      <c r="C171" s="144"/>
      <c r="D171" s="144"/>
      <c r="E171" s="144"/>
      <c r="F171" s="144"/>
    </row>
    <row r="172" spans="2:6" x14ac:dyDescent="0.3">
      <c r="B172" s="144"/>
      <c r="C172" s="144"/>
      <c r="D172" s="144"/>
      <c r="E172" s="144"/>
      <c r="F172" s="144"/>
    </row>
    <row r="173" spans="2:6" x14ac:dyDescent="0.3">
      <c r="B173" s="144"/>
      <c r="C173" s="144"/>
      <c r="D173" s="144"/>
      <c r="E173" s="144"/>
      <c r="F173" s="144"/>
    </row>
    <row r="174" spans="2:6" x14ac:dyDescent="0.3">
      <c r="B174" s="144"/>
      <c r="C174" s="144"/>
      <c r="D174" s="144"/>
      <c r="E174" s="144"/>
      <c r="F174" s="144"/>
    </row>
    <row r="175" spans="2:6" x14ac:dyDescent="0.3">
      <c r="B175" s="144"/>
      <c r="C175" s="144"/>
      <c r="D175" s="144"/>
      <c r="E175" s="144"/>
      <c r="F175" s="144"/>
    </row>
    <row r="176" spans="2:6" x14ac:dyDescent="0.3">
      <c r="B176" s="144"/>
      <c r="C176" s="144"/>
      <c r="D176" s="144"/>
      <c r="E176" s="144"/>
      <c r="F176" s="144"/>
    </row>
    <row r="177" spans="2:6" x14ac:dyDescent="0.3">
      <c r="B177" s="144"/>
      <c r="C177" s="144"/>
      <c r="D177" s="144"/>
      <c r="E177" s="144"/>
      <c r="F177" s="144"/>
    </row>
    <row r="178" spans="2:6" x14ac:dyDescent="0.3">
      <c r="B178" s="144"/>
      <c r="C178" s="144"/>
      <c r="D178" s="144"/>
      <c r="E178" s="144"/>
      <c r="F178" s="144"/>
    </row>
    <row r="179" spans="2:6" x14ac:dyDescent="0.3">
      <c r="B179" s="144"/>
      <c r="C179" s="144"/>
      <c r="D179" s="144"/>
      <c r="E179" s="144"/>
      <c r="F179" s="144"/>
    </row>
    <row r="180" spans="2:6" x14ac:dyDescent="0.3">
      <c r="B180" s="144"/>
      <c r="C180" s="144"/>
      <c r="D180" s="144"/>
      <c r="E180" s="144"/>
      <c r="F180" s="144"/>
    </row>
    <row r="181" spans="2:6" x14ac:dyDescent="0.3">
      <c r="B181" s="144"/>
      <c r="C181" s="144"/>
      <c r="D181" s="144"/>
      <c r="E181" s="144"/>
      <c r="F181" s="144"/>
    </row>
    <row r="182" spans="2:6" x14ac:dyDescent="0.3">
      <c r="B182" s="144"/>
      <c r="C182" s="144"/>
      <c r="D182" s="144"/>
      <c r="E182" s="144"/>
      <c r="F182" s="144"/>
    </row>
    <row r="183" spans="2:6" x14ac:dyDescent="0.3">
      <c r="B183" s="144"/>
      <c r="C183" s="144"/>
      <c r="D183" s="144"/>
      <c r="E183" s="144"/>
      <c r="F183" s="144"/>
    </row>
    <row r="184" spans="2:6" x14ac:dyDescent="0.3">
      <c r="B184" s="144"/>
      <c r="C184" s="144"/>
      <c r="D184" s="144"/>
      <c r="E184" s="144"/>
      <c r="F184" s="144"/>
    </row>
    <row r="185" spans="2:6" x14ac:dyDescent="0.3">
      <c r="B185" s="144"/>
      <c r="C185" s="144"/>
      <c r="D185" s="144"/>
      <c r="E185" s="144"/>
      <c r="F185" s="144"/>
    </row>
    <row r="186" spans="2:6" x14ac:dyDescent="0.3">
      <c r="B186" s="144"/>
      <c r="C186" s="144"/>
      <c r="D186" s="144"/>
      <c r="E186" s="144"/>
      <c r="F186" s="144"/>
    </row>
    <row r="187" spans="2:6" x14ac:dyDescent="0.3">
      <c r="B187" s="144"/>
      <c r="C187" s="144"/>
      <c r="D187" s="144"/>
      <c r="E187" s="144"/>
      <c r="F187" s="144"/>
    </row>
    <row r="188" spans="2:6" x14ac:dyDescent="0.3">
      <c r="B188" s="144"/>
      <c r="C188" s="144"/>
      <c r="D188" s="144"/>
      <c r="E188" s="144"/>
      <c r="F188" s="144"/>
    </row>
    <row r="189" spans="2:6" x14ac:dyDescent="0.3">
      <c r="B189" s="144"/>
      <c r="C189" s="144"/>
      <c r="D189" s="144"/>
      <c r="E189" s="144"/>
      <c r="F189" s="144"/>
    </row>
    <row r="190" spans="2:6" x14ac:dyDescent="0.3">
      <c r="B190" s="144"/>
      <c r="C190" s="144"/>
      <c r="D190" s="144"/>
      <c r="E190" s="144"/>
      <c r="F190" s="144"/>
    </row>
    <row r="191" spans="2:6" x14ac:dyDescent="0.3">
      <c r="B191" s="144"/>
      <c r="C191" s="144"/>
      <c r="D191" s="144"/>
      <c r="E191" s="144"/>
      <c r="F191" s="144"/>
    </row>
    <row r="192" spans="2:6" x14ac:dyDescent="0.3">
      <c r="B192" s="144"/>
      <c r="C192" s="144"/>
      <c r="D192" s="144"/>
      <c r="E192" s="144"/>
      <c r="F192" s="144"/>
    </row>
    <row r="193" spans="2:6" x14ac:dyDescent="0.3">
      <c r="B193" s="144"/>
      <c r="C193" s="144"/>
      <c r="D193" s="144"/>
      <c r="E193" s="144"/>
      <c r="F193" s="144"/>
    </row>
    <row r="194" spans="2:6" x14ac:dyDescent="0.3">
      <c r="B194" s="144"/>
      <c r="C194" s="144"/>
      <c r="D194" s="144"/>
      <c r="E194" s="144"/>
      <c r="F194" s="144"/>
    </row>
    <row r="195" spans="2:6" x14ac:dyDescent="0.3">
      <c r="B195" s="144"/>
      <c r="C195" s="144"/>
      <c r="D195" s="144"/>
      <c r="E195" s="144"/>
      <c r="F195" s="144"/>
    </row>
    <row r="196" spans="2:6" x14ac:dyDescent="0.3">
      <c r="B196" s="144"/>
      <c r="C196" s="144"/>
      <c r="D196" s="144"/>
      <c r="E196" s="144"/>
      <c r="F196" s="144"/>
    </row>
    <row r="197" spans="2:6" x14ac:dyDescent="0.3">
      <c r="B197" s="144"/>
      <c r="C197" s="144"/>
      <c r="D197" s="144"/>
      <c r="E197" s="144"/>
      <c r="F197" s="144"/>
    </row>
    <row r="198" spans="2:6" x14ac:dyDescent="0.3">
      <c r="B198" s="144"/>
      <c r="C198" s="144"/>
      <c r="D198" s="144"/>
      <c r="E198" s="144"/>
      <c r="F198" s="144"/>
    </row>
    <row r="199" spans="2:6" x14ac:dyDescent="0.3">
      <c r="B199" s="144"/>
      <c r="C199" s="144"/>
      <c r="D199" s="144"/>
      <c r="E199" s="144"/>
      <c r="F199" s="144"/>
    </row>
    <row r="200" spans="2:6" x14ac:dyDescent="0.3">
      <c r="B200" s="144"/>
      <c r="C200" s="144"/>
      <c r="D200" s="144"/>
      <c r="E200" s="144"/>
      <c r="F200" s="144"/>
    </row>
    <row r="201" spans="2:6" x14ac:dyDescent="0.3">
      <c r="B201" s="144"/>
      <c r="C201" s="144"/>
      <c r="D201" s="144"/>
      <c r="E201" s="144"/>
      <c r="F201" s="144"/>
    </row>
    <row r="202" spans="2:6" x14ac:dyDescent="0.3">
      <c r="B202" s="144"/>
      <c r="C202" s="144"/>
      <c r="D202" s="144"/>
      <c r="E202" s="144"/>
      <c r="F202" s="144"/>
    </row>
    <row r="203" spans="2:6" x14ac:dyDescent="0.3">
      <c r="B203" s="144"/>
      <c r="C203" s="144"/>
      <c r="D203" s="144"/>
      <c r="E203" s="144"/>
      <c r="F203" s="144"/>
    </row>
    <row r="204" spans="2:6" x14ac:dyDescent="0.3">
      <c r="B204" s="144"/>
      <c r="C204" s="144"/>
      <c r="D204" s="144"/>
      <c r="E204" s="144"/>
      <c r="F204" s="144"/>
    </row>
    <row r="205" spans="2:6" x14ac:dyDescent="0.3">
      <c r="B205" s="144"/>
      <c r="C205" s="144"/>
      <c r="D205" s="144"/>
      <c r="E205" s="144"/>
      <c r="F205" s="144"/>
    </row>
    <row r="206" spans="2:6" x14ac:dyDescent="0.3">
      <c r="B206" s="144"/>
      <c r="C206" s="144"/>
      <c r="D206" s="144"/>
      <c r="E206" s="144"/>
      <c r="F206" s="144"/>
    </row>
    <row r="207" spans="2:6" x14ac:dyDescent="0.3">
      <c r="B207" s="144"/>
      <c r="C207" s="144"/>
      <c r="D207" s="144"/>
      <c r="E207" s="144"/>
      <c r="F207" s="144"/>
    </row>
    <row r="208" spans="2:6" x14ac:dyDescent="0.3">
      <c r="B208" s="144"/>
      <c r="C208" s="144"/>
      <c r="D208" s="144"/>
      <c r="E208" s="144"/>
      <c r="F208" s="144"/>
    </row>
    <row r="209" spans="2:6" x14ac:dyDescent="0.3">
      <c r="B209" s="144"/>
      <c r="C209" s="144"/>
      <c r="D209" s="144"/>
      <c r="E209" s="144"/>
      <c r="F209" s="144"/>
    </row>
    <row r="210" spans="2:6" x14ac:dyDescent="0.3">
      <c r="B210" s="144"/>
      <c r="C210" s="144"/>
      <c r="D210" s="144"/>
      <c r="E210" s="144"/>
      <c r="F210" s="144"/>
    </row>
    <row r="211" spans="2:6" x14ac:dyDescent="0.3">
      <c r="B211" s="144"/>
      <c r="C211" s="144"/>
      <c r="D211" s="144"/>
      <c r="E211" s="144"/>
      <c r="F211" s="144"/>
    </row>
    <row r="212" spans="2:6" x14ac:dyDescent="0.3">
      <c r="B212" s="144"/>
      <c r="C212" s="144"/>
      <c r="D212" s="144"/>
      <c r="E212" s="144"/>
      <c r="F212" s="144"/>
    </row>
    <row r="213" spans="2:6" x14ac:dyDescent="0.3">
      <c r="B213" s="144"/>
      <c r="C213" s="144"/>
      <c r="D213" s="144"/>
      <c r="E213" s="144"/>
      <c r="F213" s="144"/>
    </row>
    <row r="214" spans="2:6" x14ac:dyDescent="0.3">
      <c r="B214" s="144"/>
      <c r="C214" s="144"/>
      <c r="D214" s="144"/>
      <c r="E214" s="144"/>
      <c r="F214" s="144"/>
    </row>
    <row r="215" spans="2:6" x14ac:dyDescent="0.3">
      <c r="B215" s="144"/>
      <c r="C215" s="144"/>
      <c r="D215" s="144"/>
      <c r="E215" s="144"/>
      <c r="F215" s="144"/>
    </row>
    <row r="216" spans="2:6" x14ac:dyDescent="0.3">
      <c r="B216" s="144"/>
      <c r="C216" s="144"/>
      <c r="D216" s="144"/>
      <c r="E216" s="144"/>
      <c r="F216" s="144"/>
    </row>
    <row r="217" spans="2:6" x14ac:dyDescent="0.3">
      <c r="B217" s="144"/>
      <c r="C217" s="144"/>
      <c r="D217" s="144"/>
      <c r="E217" s="144"/>
      <c r="F217" s="144"/>
    </row>
    <row r="218" spans="2:6" x14ac:dyDescent="0.3">
      <c r="B218" s="144"/>
      <c r="C218" s="144"/>
      <c r="D218" s="144"/>
      <c r="E218" s="144"/>
      <c r="F218" s="144"/>
    </row>
    <row r="219" spans="2:6" x14ac:dyDescent="0.3">
      <c r="B219" s="144"/>
      <c r="C219" s="144"/>
      <c r="D219" s="144"/>
      <c r="E219" s="144"/>
      <c r="F219" s="144"/>
    </row>
    <row r="220" spans="2:6" x14ac:dyDescent="0.3">
      <c r="B220" s="144"/>
      <c r="C220" s="144"/>
      <c r="D220" s="144"/>
      <c r="E220" s="144"/>
      <c r="F220" s="144"/>
    </row>
  </sheetData>
  <mergeCells count="3">
    <mergeCell ref="A1:F1"/>
    <mergeCell ref="A2:F2"/>
    <mergeCell ref="A57:F57"/>
  </mergeCells>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rgb="FFC00000"/>
  </sheetPr>
  <dimension ref="A1:D25"/>
  <sheetViews>
    <sheetView zoomScale="152" workbookViewId="0">
      <selection activeCell="E1" sqref="E1"/>
    </sheetView>
  </sheetViews>
  <sheetFormatPr defaultColWidth="8.88671875" defaultRowHeight="13.8" x14ac:dyDescent="0.25"/>
  <cols>
    <col min="1" max="1" width="26.33203125" style="3" bestFit="1" customWidth="1"/>
    <col min="2" max="2" width="17.33203125" style="3" bestFit="1" customWidth="1"/>
    <col min="3" max="5" width="15.5546875" style="3" bestFit="1" customWidth="1"/>
    <col min="6" max="7" width="14.6640625" style="3" bestFit="1" customWidth="1"/>
    <col min="8" max="8" width="10.44140625" style="3" bestFit="1" customWidth="1"/>
    <col min="9" max="9" width="17.88671875" style="3" bestFit="1" customWidth="1"/>
    <col min="10" max="10" width="21.33203125" style="3" bestFit="1" customWidth="1"/>
    <col min="11" max="16384" width="8.88671875" style="3"/>
  </cols>
  <sheetData>
    <row r="1" spans="1:4" ht="15.6" x14ac:dyDescent="0.3">
      <c r="A1" s="473" t="s">
        <v>93</v>
      </c>
      <c r="B1" s="474"/>
      <c r="C1" s="474"/>
      <c r="D1" s="475"/>
    </row>
    <row r="2" spans="1:4" ht="16.2" thickBot="1" x14ac:dyDescent="0.35">
      <c r="A2" s="476" t="s">
        <v>94</v>
      </c>
      <c r="B2" s="477"/>
      <c r="C2" s="477"/>
      <c r="D2" s="478"/>
    </row>
    <row r="3" spans="1:4" x14ac:dyDescent="0.25">
      <c r="A3" s="78" t="s">
        <v>95</v>
      </c>
      <c r="B3" s="78" t="s">
        <v>96</v>
      </c>
      <c r="C3" s="79" t="s">
        <v>97</v>
      </c>
      <c r="D3" s="79" t="s">
        <v>98</v>
      </c>
    </row>
    <row r="4" spans="1:4" x14ac:dyDescent="0.25">
      <c r="A4" s="487" t="s">
        <v>99</v>
      </c>
      <c r="B4" s="488"/>
      <c r="C4" s="488"/>
      <c r="D4" s="489"/>
    </row>
    <row r="5" spans="1:4" x14ac:dyDescent="0.25">
      <c r="A5" s="80" t="s">
        <v>100</v>
      </c>
      <c r="B5" s="81">
        <f>(C5+D5)/2</f>
        <v>1.7000000000000002</v>
      </c>
      <c r="C5" s="210">
        <v>1.8</v>
      </c>
      <c r="D5" s="83">
        <v>1.6</v>
      </c>
    </row>
    <row r="6" spans="1:4" x14ac:dyDescent="0.25">
      <c r="A6" s="84" t="s">
        <v>101</v>
      </c>
      <c r="B6" s="85">
        <f>(C6+D6)/2</f>
        <v>0.91</v>
      </c>
      <c r="C6" s="221">
        <v>0.92</v>
      </c>
      <c r="D6" s="86">
        <v>0.9</v>
      </c>
    </row>
    <row r="7" spans="1:4" x14ac:dyDescent="0.25">
      <c r="A7" s="484" t="s">
        <v>102</v>
      </c>
      <c r="B7" s="485"/>
      <c r="C7" s="485"/>
      <c r="D7" s="486"/>
    </row>
    <row r="8" spans="1:4" x14ac:dyDescent="0.25">
      <c r="A8" s="87" t="s">
        <v>103</v>
      </c>
      <c r="B8" s="81">
        <f>(C8+D8)/2</f>
        <v>4.0149999999999997</v>
      </c>
      <c r="C8" s="210">
        <v>4.13</v>
      </c>
      <c r="D8" s="83">
        <v>3.9</v>
      </c>
    </row>
    <row r="9" spans="1:4" x14ac:dyDescent="0.25">
      <c r="A9" s="88" t="s">
        <v>104</v>
      </c>
      <c r="B9" s="89">
        <f t="shared" ref="B9:B11" si="0">(C9+D9)/2</f>
        <v>14.195</v>
      </c>
      <c r="C9" s="214">
        <v>12.39</v>
      </c>
      <c r="D9" s="91">
        <v>16</v>
      </c>
    </row>
    <row r="10" spans="1:4" x14ac:dyDescent="0.25">
      <c r="A10" s="88" t="s">
        <v>105</v>
      </c>
      <c r="B10" s="89">
        <f t="shared" si="0"/>
        <v>83.289999999999992</v>
      </c>
      <c r="C10" s="216">
        <v>82.58</v>
      </c>
      <c r="D10" s="93">
        <v>84</v>
      </c>
    </row>
    <row r="11" spans="1:4" x14ac:dyDescent="0.25">
      <c r="A11" s="94" t="s">
        <v>106</v>
      </c>
      <c r="B11" s="85">
        <f t="shared" si="0"/>
        <v>1.6749999999999998</v>
      </c>
      <c r="C11" s="221">
        <v>1.45</v>
      </c>
      <c r="D11" s="86">
        <v>1.9</v>
      </c>
    </row>
    <row r="12" spans="1:4" x14ac:dyDescent="0.25">
      <c r="A12" s="484" t="s">
        <v>107</v>
      </c>
      <c r="B12" s="485"/>
      <c r="C12" s="485"/>
      <c r="D12" s="486"/>
    </row>
    <row r="13" spans="1:4" x14ac:dyDescent="0.25">
      <c r="A13" s="87" t="s">
        <v>108</v>
      </c>
      <c r="B13" s="81">
        <f>(C13+D13)/2</f>
        <v>2.7410156170798521</v>
      </c>
      <c r="C13" s="210">
        <v>2.2000000000000002</v>
      </c>
      <c r="D13" s="83">
        <f>'Historical Balance Sheets'!C26/'Historical Balance Sheets'!C50</f>
        <v>3.282031234159704</v>
      </c>
    </row>
    <row r="14" spans="1:4" x14ac:dyDescent="0.25">
      <c r="A14" s="88" t="s">
        <v>109</v>
      </c>
      <c r="B14" s="89">
        <f t="shared" ref="B14:B15" si="1">(C14+D14)/2</f>
        <v>28.395</v>
      </c>
      <c r="C14" s="214">
        <v>48.29</v>
      </c>
      <c r="D14" s="91">
        <v>8.5</v>
      </c>
    </row>
    <row r="15" spans="1:4" x14ac:dyDescent="0.25">
      <c r="A15" s="94" t="s">
        <v>110</v>
      </c>
      <c r="B15" s="85">
        <f t="shared" si="1"/>
        <v>2.1255580656031468</v>
      </c>
      <c r="C15" s="221">
        <v>2.9</v>
      </c>
      <c r="D15" s="86">
        <f>(618751+442)/(72732+(1592+1407+79594+12883+447553)*(1-0.29))</f>
        <v>1.3511161312062936</v>
      </c>
    </row>
    <row r="16" spans="1:4" x14ac:dyDescent="0.25">
      <c r="A16" s="484" t="s">
        <v>111</v>
      </c>
      <c r="B16" s="485"/>
      <c r="C16" s="485"/>
      <c r="D16" s="486"/>
    </row>
    <row r="17" spans="1:4" x14ac:dyDescent="0.25">
      <c r="A17" s="87" t="s">
        <v>112</v>
      </c>
      <c r="B17" s="95">
        <f>(C17+D17)/2</f>
        <v>0.27</v>
      </c>
      <c r="C17" s="212">
        <v>0.28299999999999997</v>
      </c>
      <c r="D17" s="97">
        <v>0.25700000000000001</v>
      </c>
    </row>
    <row r="18" spans="1:4" x14ac:dyDescent="0.25">
      <c r="A18" s="88" t="s">
        <v>113</v>
      </c>
      <c r="B18" s="98">
        <f t="shared" ref="B18:B22" si="2">(C18+D18)/2</f>
        <v>6.4000000000000001E-2</v>
      </c>
      <c r="C18" s="213">
        <v>8.5000000000000006E-2</v>
      </c>
      <c r="D18" s="100">
        <v>4.2999999999999997E-2</v>
      </c>
    </row>
    <row r="19" spans="1:4" x14ac:dyDescent="0.25">
      <c r="A19" s="88" t="s">
        <v>114</v>
      </c>
      <c r="B19" s="98">
        <f t="shared" si="2"/>
        <v>2.6999999999999996E-2</v>
      </c>
      <c r="C19" s="213">
        <v>4.2999999999999997E-2</v>
      </c>
      <c r="D19" s="100">
        <v>1.0999999999999999E-2</v>
      </c>
    </row>
    <row r="20" spans="1:4" x14ac:dyDescent="0.25">
      <c r="A20" s="88" t="s">
        <v>115</v>
      </c>
      <c r="B20" s="89">
        <f t="shared" si="2"/>
        <v>14.690000000000001</v>
      </c>
      <c r="C20" s="214">
        <v>13.28</v>
      </c>
      <c r="D20" s="91">
        <v>16.100000000000001</v>
      </c>
    </row>
    <row r="21" spans="1:4" x14ac:dyDescent="0.25">
      <c r="A21" s="88" t="s">
        <v>116</v>
      </c>
      <c r="B21" s="98">
        <f t="shared" si="2"/>
        <v>4.1500000000000002E-2</v>
      </c>
      <c r="C21" s="213">
        <v>6.3E-2</v>
      </c>
      <c r="D21" s="100">
        <v>0.02</v>
      </c>
    </row>
    <row r="22" spans="1:4" x14ac:dyDescent="0.25">
      <c r="A22" s="94" t="s">
        <v>117</v>
      </c>
      <c r="B22" s="101">
        <f t="shared" si="2"/>
        <v>6.6500000000000004E-2</v>
      </c>
      <c r="C22" s="220">
        <v>9.5000000000000001E-2</v>
      </c>
      <c r="D22" s="102">
        <v>3.7999999999999999E-2</v>
      </c>
    </row>
    <row r="23" spans="1:4" x14ac:dyDescent="0.25">
      <c r="A23" s="484" t="s">
        <v>118</v>
      </c>
      <c r="B23" s="485"/>
      <c r="C23" s="485"/>
      <c r="D23" s="486"/>
    </row>
    <row r="24" spans="1:4" x14ac:dyDescent="0.25">
      <c r="A24" s="87" t="s">
        <v>119</v>
      </c>
      <c r="B24" s="81">
        <f>(C24+D24)/2</f>
        <v>41.72</v>
      </c>
      <c r="C24" s="210">
        <v>33.64</v>
      </c>
      <c r="D24" s="83">
        <v>49.8</v>
      </c>
    </row>
    <row r="25" spans="1:4" x14ac:dyDescent="0.25">
      <c r="A25" s="88" t="s">
        <v>120</v>
      </c>
      <c r="B25" s="85">
        <f>(C25+D25)/2</f>
        <v>23.288999999999998</v>
      </c>
      <c r="C25" s="211">
        <f>446.78/10</f>
        <v>44.677999999999997</v>
      </c>
      <c r="D25" s="104">
        <v>1.9</v>
      </c>
    </row>
  </sheetData>
  <mergeCells count="7">
    <mergeCell ref="A1:D1"/>
    <mergeCell ref="A23:D23"/>
    <mergeCell ref="A2:D2"/>
    <mergeCell ref="A4:D4"/>
    <mergeCell ref="A12:D12"/>
    <mergeCell ref="A16:D16"/>
    <mergeCell ref="A7:D7"/>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theme="5" tint="0.79998168889431442"/>
  </sheetPr>
  <dimension ref="A1:Z182"/>
  <sheetViews>
    <sheetView zoomScale="95" zoomScaleNormal="100" workbookViewId="0">
      <selection activeCell="H26" sqref="H26"/>
    </sheetView>
  </sheetViews>
  <sheetFormatPr defaultColWidth="8.88671875" defaultRowHeight="13.8" x14ac:dyDescent="0.25"/>
  <cols>
    <col min="1" max="1" width="31.109375" style="3" bestFit="1" customWidth="1"/>
    <col min="2" max="2" width="22.109375" style="3" bestFit="1" customWidth="1"/>
    <col min="3" max="3" width="7.5546875" style="3" bestFit="1" customWidth="1"/>
    <col min="4" max="7" width="7.88671875" style="3" bestFit="1" customWidth="1"/>
    <col min="8" max="8" width="15.44140625" style="3" bestFit="1" customWidth="1"/>
    <col min="9" max="9" width="26" style="3" bestFit="1" customWidth="1"/>
    <col min="10" max="10" width="30.33203125" style="3" bestFit="1" customWidth="1"/>
    <col min="11" max="16384" width="8.88671875" style="3"/>
  </cols>
  <sheetData>
    <row r="1" spans="1:26" ht="16.2" thickBot="1" x14ac:dyDescent="0.35">
      <c r="A1" s="473" t="s">
        <v>11</v>
      </c>
      <c r="B1" s="474"/>
      <c r="C1" s="474"/>
      <c r="D1" s="474"/>
      <c r="E1" s="474"/>
      <c r="F1" s="474"/>
      <c r="G1" s="474"/>
      <c r="H1" s="474"/>
      <c r="I1" s="474"/>
      <c r="J1" s="475"/>
      <c r="M1" s="490" t="s">
        <v>121</v>
      </c>
      <c r="N1" s="491"/>
      <c r="O1" s="491"/>
      <c r="P1" s="491"/>
      <c r="Q1" s="491"/>
      <c r="R1" s="491"/>
      <c r="S1" s="491"/>
      <c r="T1" s="491"/>
      <c r="U1" s="491"/>
      <c r="V1" s="491"/>
      <c r="W1" s="491"/>
      <c r="X1" s="491"/>
      <c r="Y1" s="491"/>
      <c r="Z1" s="492"/>
    </row>
    <row r="2" spans="1:26" ht="16.2" thickBot="1" x14ac:dyDescent="0.35">
      <c r="A2" s="476" t="s">
        <v>122</v>
      </c>
      <c r="B2" s="477"/>
      <c r="C2" s="477"/>
      <c r="D2" s="477"/>
      <c r="E2" s="477"/>
      <c r="F2" s="477"/>
      <c r="G2" s="477"/>
      <c r="H2" s="477"/>
      <c r="I2" s="477"/>
      <c r="J2" s="478"/>
    </row>
    <row r="3" spans="1:26" x14ac:dyDescent="0.25">
      <c r="A3" s="78" t="s">
        <v>95</v>
      </c>
      <c r="B3" s="78" t="s">
        <v>96</v>
      </c>
      <c r="C3" s="78">
        <v>2019</v>
      </c>
      <c r="D3" s="78">
        <v>2018</v>
      </c>
      <c r="E3" s="78">
        <v>2017</v>
      </c>
      <c r="F3" s="78">
        <v>2016</v>
      </c>
      <c r="G3" s="78">
        <v>2015</v>
      </c>
      <c r="H3" s="78" t="s">
        <v>123</v>
      </c>
      <c r="I3" s="78" t="s">
        <v>124</v>
      </c>
      <c r="J3" s="78" t="s">
        <v>125</v>
      </c>
    </row>
    <row r="4" spans="1:26" x14ac:dyDescent="0.25">
      <c r="A4" s="483" t="s">
        <v>99</v>
      </c>
      <c r="B4" s="483"/>
      <c r="C4" s="483"/>
      <c r="D4" s="483"/>
      <c r="E4" s="483"/>
      <c r="F4" s="483"/>
      <c r="G4" s="483"/>
      <c r="H4" s="483"/>
      <c r="I4" s="483"/>
      <c r="J4" s="483"/>
    </row>
    <row r="5" spans="1:26" x14ac:dyDescent="0.25">
      <c r="A5" s="80" t="s">
        <v>100</v>
      </c>
      <c r="B5" s="81">
        <f>'Industry Ratios'!B5</f>
        <v>1.7000000000000002</v>
      </c>
      <c r="C5" s="210">
        <f>'Historical Balance Sheets'!B24/'Historical Balance Sheets'!B48</f>
        <v>2.0393470943671681</v>
      </c>
      <c r="D5" s="82">
        <f>'Historical Balance Sheets'!C24/'Historical Balance Sheets'!C48</f>
        <v>2.0924754744670517</v>
      </c>
      <c r="E5" s="210">
        <f>'Historical Balance Sheets'!D24/'Historical Balance Sheets'!D48</f>
        <v>1.5435504707855976</v>
      </c>
      <c r="F5" s="82">
        <f>'Historical Balance Sheets'!E24/'Historical Balance Sheets'!E48</f>
        <v>1.6599509474880698</v>
      </c>
      <c r="G5" s="210">
        <f>'Historical Balance Sheets'!F24/'Historical Balance Sheets'!F48</f>
        <v>1.6032161830794094</v>
      </c>
      <c r="H5" s="105"/>
      <c r="I5" s="217" t="s">
        <v>126</v>
      </c>
      <c r="J5" s="106" t="s">
        <v>127</v>
      </c>
    </row>
    <row r="6" spans="1:26" x14ac:dyDescent="0.25">
      <c r="A6" s="107" t="s">
        <v>101</v>
      </c>
      <c r="B6" s="85">
        <f>'Industry Ratios'!B6</f>
        <v>0.91</v>
      </c>
      <c r="C6" s="211">
        <f>('Historical Balance Sheets'!B24-'Historical Balance Sheets'!B14)/'Historical Balance Sheets'!B48</f>
        <v>1.0546756965002635</v>
      </c>
      <c r="D6" s="103">
        <f>('Historical Balance Sheets'!C24-'Historical Balance Sheets'!C14-'Historical Balance Sheets'!C13)/'Historical Balance Sheets'!C48</f>
        <v>1.0154782901353174</v>
      </c>
      <c r="E6" s="211">
        <f>('Historical Balance Sheets'!D24-'Historical Balance Sheets'!D14-'Historical Balance Sheets'!D13)/'Historical Balance Sheets'!D48</f>
        <v>0.71230133971617526</v>
      </c>
      <c r="F6" s="103">
        <f>('Historical Balance Sheets'!E24-'Historical Balance Sheets'!E14-'Historical Balance Sheets'!E13)/'Historical Balance Sheets'!E48</f>
        <v>0.82664092624918162</v>
      </c>
      <c r="G6" s="211">
        <f>('Historical Balance Sheets'!F24-'Historical Balance Sheets'!F14-'Historical Balance Sheets'!F13)/'Historical Balance Sheets'!F48</f>
        <v>0.84323555395085981</v>
      </c>
      <c r="H6" s="108"/>
      <c r="I6" s="218" t="s">
        <v>128</v>
      </c>
      <c r="J6" s="109" t="s">
        <v>129</v>
      </c>
    </row>
    <row r="7" spans="1:26" x14ac:dyDescent="0.25">
      <c r="A7" s="496" t="s">
        <v>102</v>
      </c>
      <c r="B7" s="496"/>
      <c r="C7" s="496"/>
      <c r="D7" s="496"/>
      <c r="E7" s="496"/>
      <c r="F7" s="496"/>
      <c r="G7" s="496"/>
      <c r="H7" s="496"/>
      <c r="I7" s="496"/>
      <c r="J7" s="496"/>
    </row>
    <row r="8" spans="1:26" x14ac:dyDescent="0.25">
      <c r="A8" s="87" t="s">
        <v>103</v>
      </c>
      <c r="B8" s="81">
        <f>'Industry Ratios'!B8</f>
        <v>4.0149999999999997</v>
      </c>
      <c r="C8" s="210">
        <f>-'Historical Income Statements'!B5/'Historical Balance Sheets'!B14</f>
        <v>4.7560202185971487</v>
      </c>
      <c r="D8" s="82">
        <f>-'Historical Income Statements'!C5/'Historical Balance Sheets'!C14</f>
        <v>4.3056905645140935</v>
      </c>
      <c r="E8" s="210">
        <f>-'Historical Income Statements'!D5/'Historical Balance Sheets'!D14</f>
        <v>3.9616113726933166</v>
      </c>
      <c r="F8" s="82">
        <f>-'Historical Income Statements'!E5/'Historical Balance Sheets'!E14</f>
        <v>3.6227039141267352</v>
      </c>
      <c r="G8" s="210">
        <f>-'Historical Income Statements'!F5/'Historical Balance Sheets'!F14</f>
        <v>3.6954243892948009</v>
      </c>
      <c r="H8" s="105"/>
      <c r="I8" s="217" t="s">
        <v>130</v>
      </c>
      <c r="J8" s="106" t="s">
        <v>127</v>
      </c>
    </row>
    <row r="9" spans="1:26" x14ac:dyDescent="0.25">
      <c r="A9" s="88" t="s">
        <v>104</v>
      </c>
      <c r="B9" s="89">
        <f>'Industry Ratios'!B9</f>
        <v>14.195</v>
      </c>
      <c r="C9" s="214">
        <f>'Historical Balance Sheets'!B16/('Historical Income Statements'!B4/365)</f>
        <v>11.241821707321867</v>
      </c>
      <c r="D9" s="90">
        <f>'Historical Balance Sheets'!C16/('Historical Income Statements'!C4/365)</f>
        <v>17.118276793727379</v>
      </c>
      <c r="E9" s="214">
        <f>'Historical Balance Sheets'!D16/('Historical Income Statements'!D4/365)</f>
        <v>26.313316868947332</v>
      </c>
      <c r="F9" s="90">
        <f>'Historical Balance Sheets'!E16/('Historical Income Statements'!E4/365)</f>
        <v>7.0238000694613429</v>
      </c>
      <c r="G9" s="214">
        <f>'Historical Balance Sheets'!F16/('Historical Income Statements'!F4/365)</f>
        <v>5.0401474675053564</v>
      </c>
      <c r="H9" s="110"/>
      <c r="I9" s="219" t="s">
        <v>131</v>
      </c>
      <c r="J9" s="111" t="s">
        <v>127</v>
      </c>
    </row>
    <row r="10" spans="1:26" x14ac:dyDescent="0.25">
      <c r="A10" s="88" t="s">
        <v>105</v>
      </c>
      <c r="B10" s="89">
        <f>'Industry Ratios'!B10</f>
        <v>83.289999999999992</v>
      </c>
      <c r="C10" s="216">
        <f>'Historical Balance Sheets'!B61/('Historical Income Statements'!B27/365)</f>
        <v>20.714910174638067</v>
      </c>
      <c r="D10" s="92">
        <f>'Historical Balance Sheets'!C61/('Historical Income Statements'!C27/365)</f>
        <v>29.036984016474296</v>
      </c>
      <c r="E10" s="216">
        <f>'Historical Balance Sheets'!D61/('Historical Income Statements'!D27/365)</f>
        <v>31.499005758377454</v>
      </c>
      <c r="F10" s="92">
        <f>'Historical Balance Sheets'!E61/('Historical Income Statements'!E27/365)</f>
        <v>76.369862539231931</v>
      </c>
      <c r="G10" s="216">
        <f>'Historical Balance Sheets'!F61/('Historical Income Statements'!F27/365)</f>
        <v>89.645270608370723</v>
      </c>
      <c r="H10" s="110"/>
      <c r="I10" s="219" t="s">
        <v>128</v>
      </c>
      <c r="J10" s="111" t="s">
        <v>127</v>
      </c>
    </row>
    <row r="11" spans="1:26" x14ac:dyDescent="0.25">
      <c r="A11" s="112" t="s">
        <v>106</v>
      </c>
      <c r="B11" s="85">
        <f>'Industry Ratios'!B11</f>
        <v>1.6749999999999998</v>
      </c>
      <c r="C11" s="211">
        <f>'Historical Income Statements'!B4/'Historical Balance Sheets'!B26</f>
        <v>1.5755023170146718</v>
      </c>
      <c r="D11" s="103">
        <f>'Historical Income Statements'!C4/'Historical Balance Sheets'!C26</f>
        <v>1.5334734796492857</v>
      </c>
      <c r="E11" s="211">
        <f>'Historical Income Statements'!D4/'Historical Balance Sheets'!D26</f>
        <v>1.4983026371298951</v>
      </c>
      <c r="F11" s="103">
        <f>'Historical Income Statements'!E4/'Historical Balance Sheets'!E26</f>
        <v>1.3023101182526504</v>
      </c>
      <c r="G11" s="211">
        <f>'Historical Income Statements'!F4/'Historical Balance Sheets'!F26</f>
        <v>1.1839816359514044</v>
      </c>
      <c r="H11" s="108"/>
      <c r="I11" s="218" t="s">
        <v>128</v>
      </c>
      <c r="J11" s="109" t="s">
        <v>132</v>
      </c>
    </row>
    <row r="12" spans="1:26" x14ac:dyDescent="0.25">
      <c r="A12" s="496" t="s">
        <v>107</v>
      </c>
      <c r="B12" s="496"/>
      <c r="C12" s="496"/>
      <c r="D12" s="496"/>
      <c r="E12" s="496"/>
      <c r="F12" s="496"/>
      <c r="G12" s="496"/>
      <c r="H12" s="496"/>
      <c r="I12" s="496"/>
      <c r="J12" s="496"/>
    </row>
    <row r="13" spans="1:26" x14ac:dyDescent="0.25">
      <c r="A13" s="87" t="s">
        <v>108</v>
      </c>
      <c r="B13" s="81">
        <f>'Industry Ratios'!B13</f>
        <v>2.7410156170798521</v>
      </c>
      <c r="C13" s="210">
        <f>'Historical Balance Sheets'!B26/'Historical Balance Sheets'!B50</f>
        <v>3.2787441331227249</v>
      </c>
      <c r="D13" s="82">
        <f>'Historical Balance Sheets'!C26/'Historical Balance Sheets'!C50</f>
        <v>3.282031234159704</v>
      </c>
      <c r="E13" s="210">
        <f>'Historical Balance Sheets'!D26/'Historical Balance Sheets'!D50</f>
        <v>2.6003015902735056</v>
      </c>
      <c r="F13" s="82">
        <f>'Historical Balance Sheets'!E26/'Historical Balance Sheets'!E50</f>
        <v>2.7767269606295826</v>
      </c>
      <c r="G13" s="210">
        <f>'Historical Balance Sheets'!F26/'Historical Balance Sheets'!F50</f>
        <v>2.8539382644269033</v>
      </c>
      <c r="H13" s="105"/>
      <c r="I13" s="217" t="s">
        <v>133</v>
      </c>
      <c r="J13" s="106" t="s">
        <v>127</v>
      </c>
    </row>
    <row r="14" spans="1:26" x14ac:dyDescent="0.25">
      <c r="A14" s="88" t="s">
        <v>109</v>
      </c>
      <c r="B14" s="89">
        <f>'Industry Ratios'!B14</f>
        <v>28.395</v>
      </c>
      <c r="C14" s="214">
        <f>'Historical Income Statements'!B11/-'Historical Income Statements'!B12</f>
        <v>16.884396656204355</v>
      </c>
      <c r="D14" s="90">
        <f>'Historical Income Statements'!C11/-'Historical Income Statements'!C12</f>
        <v>32.834271873643075</v>
      </c>
      <c r="E14" s="214">
        <f>'Historical Income Statements'!D11/-'Historical Income Statements'!D12</f>
        <v>56.791826193334998</v>
      </c>
      <c r="F14" s="90">
        <f>'Historical Income Statements'!E11/-'Historical Income Statements'!E12</f>
        <v>229.71379781420765</v>
      </c>
      <c r="G14" s="214">
        <f>'Historical Income Statements'!F11/-'Historical Income Statements'!F12</f>
        <v>65.643880723312662</v>
      </c>
      <c r="H14" s="110"/>
      <c r="I14" s="219" t="s">
        <v>134</v>
      </c>
      <c r="J14" s="111" t="s">
        <v>135</v>
      </c>
    </row>
    <row r="15" spans="1:26" x14ac:dyDescent="0.25">
      <c r="A15" s="112" t="s">
        <v>110</v>
      </c>
      <c r="B15" s="85">
        <f>'Industry Ratios'!B15</f>
        <v>2.1255580656031468</v>
      </c>
      <c r="C15" s="211">
        <f>('Historical Income Statements'!B11+'Historical Income Statements'!B30)/(-'Historical Income Statements'!B12+('Historical Balance Sheets'!B46+'Historical Balance Sheets'!B38+'Historical Balance Sheets'!B37+'Historical Balance Sheets'!B43+'Historical Balance Sheets'!B45)*(1-0.29))</f>
        <v>5.8124973266649311</v>
      </c>
      <c r="D15" s="103">
        <f>('Historical Income Statements'!C11+'Historical Income Statements'!C30)/(-'Historical Income Statements'!C12+('Historical Balance Sheets'!C46+'Historical Balance Sheets'!C38+'Historical Balance Sheets'!C37+'Historical Balance Sheets'!C43+'Historical Balance Sheets'!C45)*(1-0.29))</f>
        <v>7.5897295459521548</v>
      </c>
      <c r="E15" s="211">
        <f>('Historical Income Statements'!D11+'Historical Income Statements'!D30)/(-'Historical Income Statements'!D12+('Historical Balance Sheets'!D46+'Historical Balance Sheets'!D38+'Historical Balance Sheets'!D37+'Historical Balance Sheets'!D43+'Historical Balance Sheets'!D45)*(1-0.29))</f>
        <v>6.5811349896125568</v>
      </c>
      <c r="F15" s="103">
        <f>('Historical Income Statements'!E11+'Historical Income Statements'!E30)/(-'Historical Income Statements'!E12+('Historical Balance Sheets'!E46+'Historical Balance Sheets'!E38+'Historical Balance Sheets'!E37+'Historical Balance Sheets'!E43+'Historical Balance Sheets'!E45)*(1-0.29))</f>
        <v>6.6024463788983789</v>
      </c>
      <c r="G15" s="211">
        <f>('Historical Income Statements'!F11+'Historical Income Statements'!F30)/(-'Historical Income Statements'!F12+('Historical Balance Sheets'!F46+'Historical Balance Sheets'!F38+'Historical Balance Sheets'!F37+'Historical Balance Sheets'!F43+'Historical Balance Sheets'!F45)*(1-0.29))</f>
        <v>2.7093110577743964</v>
      </c>
      <c r="H15" s="108"/>
      <c r="I15" s="218" t="s">
        <v>131</v>
      </c>
      <c r="J15" s="109" t="s">
        <v>127</v>
      </c>
    </row>
    <row r="16" spans="1:26" x14ac:dyDescent="0.25">
      <c r="A16" s="496" t="s">
        <v>111</v>
      </c>
      <c r="B16" s="496"/>
      <c r="C16" s="496"/>
      <c r="D16" s="496"/>
      <c r="E16" s="496"/>
      <c r="F16" s="496"/>
      <c r="G16" s="496"/>
      <c r="H16" s="496"/>
      <c r="I16" s="496"/>
      <c r="J16" s="496"/>
    </row>
    <row r="17" spans="1:12" ht="14.4" x14ac:dyDescent="0.3">
      <c r="A17" s="87" t="s">
        <v>112</v>
      </c>
      <c r="B17" s="95">
        <f>'Industry Ratios'!B17</f>
        <v>0.27</v>
      </c>
      <c r="C17" s="212">
        <f>'Historical Income Statements'!B6/'Historical Income Statements'!B4</f>
        <v>0.21080192201854536</v>
      </c>
      <c r="D17" s="96">
        <f>'Historical Income Statements'!C6/'Historical Income Statements'!C4</f>
        <v>0.24740905064981045</v>
      </c>
      <c r="E17" s="212">
        <f>'Historical Income Statements'!D6/'Historical Income Statements'!D4</f>
        <v>0.26479669565021052</v>
      </c>
      <c r="F17" s="96">
        <f>'Historical Income Statements'!E6/'Historical Income Statements'!E4</f>
        <v>0.27080965999532791</v>
      </c>
      <c r="G17" s="212">
        <f>'Historical Income Statements'!F6/'Historical Income Statements'!F4</f>
        <v>0.2696747106006458</v>
      </c>
      <c r="H17" s="105"/>
      <c r="I17" s="217" t="s">
        <v>134</v>
      </c>
      <c r="J17" s="106" t="s">
        <v>135</v>
      </c>
      <c r="L17" s="273"/>
    </row>
    <row r="18" spans="1:12" x14ac:dyDescent="0.25">
      <c r="A18" s="88" t="s">
        <v>113</v>
      </c>
      <c r="B18" s="98">
        <f>'Industry Ratios'!B18</f>
        <v>6.4000000000000001E-2</v>
      </c>
      <c r="C18" s="213">
        <f>'Historical Income Statements'!B11/'Historical Income Statements'!B4</f>
        <v>0.13367067277182401</v>
      </c>
      <c r="D18" s="99">
        <f>'Historical Income Statements'!C11/'Historical Income Statements'!C4</f>
        <v>0.14230987060250233</v>
      </c>
      <c r="E18" s="213">
        <f>'Historical Income Statements'!D11/'Historical Income Statements'!D4</f>
        <v>0.15297892186342921</v>
      </c>
      <c r="F18" s="99">
        <f>'Historical Income Statements'!E11/'Historical Income Statements'!E4</f>
        <v>0.15861221418894306</v>
      </c>
      <c r="G18" s="213">
        <f>'Historical Income Statements'!F11/'Historical Income Statements'!F4</f>
        <v>0.14979758563602288</v>
      </c>
      <c r="H18" s="110"/>
      <c r="I18" s="219" t="s">
        <v>134</v>
      </c>
      <c r="J18" s="111" t="s">
        <v>127</v>
      </c>
    </row>
    <row r="19" spans="1:12" x14ac:dyDescent="0.25">
      <c r="A19" s="88" t="s">
        <v>114</v>
      </c>
      <c r="B19" s="98">
        <f>'Industry Ratios'!B19</f>
        <v>2.6999999999999996E-2</v>
      </c>
      <c r="C19" s="213">
        <f>'Historical Income Statements'!B15/'Historical Income Statements'!B4</f>
        <v>8.3132247176043991E-2</v>
      </c>
      <c r="D19" s="99">
        <f>'Historical Income Statements'!C15/'Historical Income Statements'!C4</f>
        <v>9.5037410121022708E-2</v>
      </c>
      <c r="E19" s="213">
        <f>'Historical Income Statements'!D15/'Historical Income Statements'!D4</f>
        <v>9.2367585419681653E-2</v>
      </c>
      <c r="F19" s="99">
        <f>'Historical Income Statements'!E15/'Historical Income Statements'!E4</f>
        <v>9.5956929759330928E-2</v>
      </c>
      <c r="G19" s="213">
        <f>'Historical Income Statements'!F15/'Historical Income Statements'!F4</f>
        <v>0.10539559227914654</v>
      </c>
      <c r="H19" s="110"/>
      <c r="I19" s="219" t="s">
        <v>134</v>
      </c>
      <c r="J19" s="111" t="s">
        <v>127</v>
      </c>
    </row>
    <row r="20" spans="1:12" x14ac:dyDescent="0.25">
      <c r="A20" s="88" t="s">
        <v>115</v>
      </c>
      <c r="B20" s="89">
        <f>'Industry Ratios'!B20</f>
        <v>14.690000000000001</v>
      </c>
      <c r="C20" s="214">
        <f>'Historical Income Statements'!B15/'Historical Balance Sheets'!B58</f>
        <v>9.5492479450274956</v>
      </c>
      <c r="D20" s="90">
        <f>'Historical Income Statements'!C15/'Historical Balance Sheets'!C58</f>
        <v>10.148364442013412</v>
      </c>
      <c r="E20" s="214">
        <f>'Historical Income Statements'!D15/'Historical Balance Sheets'!D58</f>
        <v>9.5056359291016399</v>
      </c>
      <c r="F20" s="90">
        <f>'Historical Income Statements'!E15/'Historical Balance Sheets'!E58</f>
        <v>8.3051295461507344</v>
      </c>
      <c r="G20" s="214">
        <f>'Historical Income Statements'!F15/'Historical Balance Sheets'!F58</f>
        <v>7.8837801351760852</v>
      </c>
      <c r="H20" s="110"/>
      <c r="I20" s="219" t="s">
        <v>128</v>
      </c>
      <c r="J20" s="111" t="s">
        <v>135</v>
      </c>
    </row>
    <row r="21" spans="1:12" x14ac:dyDescent="0.25">
      <c r="A21" s="88" t="s">
        <v>116</v>
      </c>
      <c r="B21" s="98">
        <f>'Industry Ratios'!B21</f>
        <v>4.1500000000000002E-2</v>
      </c>
      <c r="C21" s="213">
        <f>'Historical Income Statements'!B15/'Historical Balance Sheets'!B26</f>
        <v>0.1309750480444937</v>
      </c>
      <c r="D21" s="99">
        <f>'Historical Income Statements'!C15/'Historical Balance Sheets'!C26</f>
        <v>0.14573734799514096</v>
      </c>
      <c r="E21" s="213">
        <f>'Historical Income Statements'!D15/'Historical Balance Sheets'!D26</f>
        <v>0.13839459681962987</v>
      </c>
      <c r="F21" s="99">
        <f>'Historical Income Statements'!E15/'Historical Balance Sheets'!E26</f>
        <v>0.12496568054203554</v>
      </c>
      <c r="G21" s="213">
        <f>'Historical Income Statements'!F15/'Historical Balance Sheets'!F26</f>
        <v>0.12478644576873112</v>
      </c>
      <c r="H21" s="110"/>
      <c r="I21" s="219" t="s">
        <v>131</v>
      </c>
      <c r="J21" s="111" t="s">
        <v>127</v>
      </c>
    </row>
    <row r="22" spans="1:12" x14ac:dyDescent="0.25">
      <c r="A22" s="112" t="s">
        <v>117</v>
      </c>
      <c r="B22" s="101">
        <f>'Industry Ratios'!B22</f>
        <v>6.6500000000000004E-2</v>
      </c>
      <c r="C22" s="215">
        <f>'Historical Income Statements'!B15/'Historical Balance Sheets'!B32</f>
        <v>0.18845190388833491</v>
      </c>
      <c r="D22" s="113">
        <f>'Historical Income Statements'!C15/'Historical Balance Sheets'!C32</f>
        <v>0.20960034242466496</v>
      </c>
      <c r="E22" s="215">
        <f>'Historical Income Statements'!D15/'Historical Balance Sheets'!D32</f>
        <v>0.22487491881692101</v>
      </c>
      <c r="F22" s="113">
        <f>'Historical Income Statements'!E15/'Historical Balance Sheets'!E32</f>
        <v>0.19530044964901974</v>
      </c>
      <c r="G22" s="215">
        <f>'Historical Income Statements'!F15/'Historical Balance Sheets'!F32</f>
        <v>0.19209529211119852</v>
      </c>
      <c r="H22" s="108"/>
      <c r="I22" s="218" t="s">
        <v>134</v>
      </c>
      <c r="J22" s="109" t="s">
        <v>127</v>
      </c>
    </row>
    <row r="23" spans="1:12" x14ac:dyDescent="0.25">
      <c r="A23" s="496" t="s">
        <v>118</v>
      </c>
      <c r="B23" s="496"/>
      <c r="C23" s="496"/>
      <c r="D23" s="496"/>
      <c r="E23" s="496"/>
      <c r="F23" s="496"/>
      <c r="G23" s="496"/>
      <c r="H23" s="496"/>
      <c r="I23" s="496"/>
      <c r="J23" s="496"/>
    </row>
    <row r="24" spans="1:12" x14ac:dyDescent="0.25">
      <c r="A24" s="87" t="s">
        <v>119</v>
      </c>
      <c r="B24" s="81">
        <f>'Industry Ratios'!B24</f>
        <v>41.72</v>
      </c>
      <c r="C24" s="210">
        <f>'Historical Balance Sheets'!B59/'Ratio Analysis'!C20</f>
        <v>16.818078337114283</v>
      </c>
      <c r="D24" s="82">
        <f>'Historical Balance Sheets'!C59/'Ratio Analysis'!D20</f>
        <v>11.105237759636527</v>
      </c>
      <c r="E24" s="210">
        <f>'Historical Balance Sheets'!D59/'Ratio Analysis'!E20</f>
        <v>17.663205413324505</v>
      </c>
      <c r="F24" s="82">
        <f>'Historical Balance Sheets'!E59/'Ratio Analysis'!F20</f>
        <v>28.091072957209921</v>
      </c>
      <c r="G24" s="210">
        <f>'Historical Balance Sheets'!F59/'Ratio Analysis'!G20</f>
        <v>27.905395156620038</v>
      </c>
      <c r="H24" s="105"/>
      <c r="I24" s="217" t="s">
        <v>131</v>
      </c>
      <c r="J24" s="106" t="s">
        <v>135</v>
      </c>
    </row>
    <row r="25" spans="1:12" x14ac:dyDescent="0.25">
      <c r="A25" s="88" t="s">
        <v>120</v>
      </c>
      <c r="B25" s="85">
        <f>'Industry Ratios'!B25</f>
        <v>23.288999999999998</v>
      </c>
      <c r="C25" s="211">
        <f>'Historical Balance Sheets'!B59/'Historical Balance Sheets'!B60</f>
        <v>16.059999999999999</v>
      </c>
      <c r="D25" s="103">
        <f>'Historical Balance Sheets'!C59/'Historical Balance Sheets'!C60</f>
        <v>11.27</v>
      </c>
      <c r="E25" s="211">
        <f>'Historical Balance Sheets'!D59/'Historical Balance Sheets'!D60</f>
        <v>16.79</v>
      </c>
      <c r="F25" s="103">
        <f>'Historical Balance Sheets'!E59/'Historical Balance Sheets'!E60</f>
        <v>23.330000000000002</v>
      </c>
      <c r="G25" s="211">
        <f>'Historical Balance Sheets'!F59/'Historical Balance Sheets'!F60</f>
        <v>22</v>
      </c>
      <c r="H25" s="108"/>
      <c r="I25" s="218" t="s">
        <v>131</v>
      </c>
      <c r="J25" s="109" t="s">
        <v>135</v>
      </c>
    </row>
    <row r="26" spans="1:12" ht="14.4" thickBot="1" x14ac:dyDescent="0.3">
      <c r="B26" s="114"/>
      <c r="C26" s="114"/>
    </row>
    <row r="27" spans="1:12" ht="20.399999999999999" customHeight="1" thickBot="1" x14ac:dyDescent="0.3">
      <c r="A27" s="493" t="s">
        <v>136</v>
      </c>
      <c r="B27" s="494"/>
      <c r="C27" s="494"/>
      <c r="D27" s="494"/>
      <c r="E27" s="494"/>
      <c r="F27" s="495"/>
    </row>
    <row r="28" spans="1:12" x14ac:dyDescent="0.25">
      <c r="B28" s="114"/>
      <c r="C28" s="114"/>
    </row>
    <row r="31" spans="1:12" x14ac:dyDescent="0.25">
      <c r="B31" s="114"/>
      <c r="C31" s="114"/>
      <c r="D31" s="114"/>
      <c r="E31" s="114"/>
      <c r="F31" s="114"/>
      <c r="G31" s="114"/>
    </row>
    <row r="32" spans="1:12" x14ac:dyDescent="0.25">
      <c r="G32" s="114"/>
    </row>
    <row r="33" spans="2:7" x14ac:dyDescent="0.25">
      <c r="B33" s="114"/>
      <c r="C33" s="114"/>
      <c r="D33" s="114"/>
      <c r="E33" s="114"/>
      <c r="F33" s="114"/>
      <c r="G33" s="114"/>
    </row>
    <row r="34" spans="2:7" x14ac:dyDescent="0.25">
      <c r="B34" s="114"/>
      <c r="C34" s="114"/>
      <c r="D34" s="114"/>
      <c r="E34" s="114"/>
      <c r="F34" s="114"/>
      <c r="G34" s="114"/>
    </row>
    <row r="35" spans="2:7" x14ac:dyDescent="0.25">
      <c r="B35" s="114"/>
      <c r="E35" s="114"/>
      <c r="F35" s="114"/>
      <c r="G35" s="114"/>
    </row>
    <row r="36" spans="2:7" x14ac:dyDescent="0.25">
      <c r="B36" s="114"/>
      <c r="E36" s="114"/>
      <c r="F36" s="114"/>
      <c r="G36" s="114"/>
    </row>
    <row r="37" spans="2:7" x14ac:dyDescent="0.25">
      <c r="B37" s="114"/>
      <c r="E37" s="114"/>
      <c r="F37" s="114"/>
      <c r="G37" s="114"/>
    </row>
    <row r="38" spans="2:7" x14ac:dyDescent="0.25">
      <c r="B38" s="114"/>
      <c r="E38" s="114"/>
      <c r="F38" s="114"/>
      <c r="G38" s="114"/>
    </row>
    <row r="39" spans="2:7" x14ac:dyDescent="0.25">
      <c r="B39" s="114"/>
      <c r="E39" s="114"/>
      <c r="F39" s="114"/>
      <c r="G39" s="114"/>
    </row>
    <row r="40" spans="2:7" x14ac:dyDescent="0.25">
      <c r="B40" s="114"/>
      <c r="E40" s="114"/>
      <c r="F40" s="114"/>
      <c r="G40" s="114"/>
    </row>
    <row r="41" spans="2:7" x14ac:dyDescent="0.25">
      <c r="B41" s="114"/>
      <c r="E41" s="114"/>
      <c r="F41" s="114"/>
      <c r="G41" s="114"/>
    </row>
    <row r="42" spans="2:7" x14ac:dyDescent="0.25">
      <c r="E42" s="114"/>
      <c r="F42" s="114"/>
      <c r="G42" s="114"/>
    </row>
    <row r="43" spans="2:7" x14ac:dyDescent="0.25">
      <c r="B43" s="114"/>
      <c r="E43" s="114"/>
      <c r="F43" s="114"/>
      <c r="G43" s="114"/>
    </row>
    <row r="44" spans="2:7" x14ac:dyDescent="0.25">
      <c r="B44" s="114"/>
      <c r="C44" s="114"/>
      <c r="D44" s="114"/>
      <c r="E44" s="114"/>
      <c r="F44" s="114"/>
      <c r="G44" s="114"/>
    </row>
    <row r="45" spans="2:7" x14ac:dyDescent="0.25">
      <c r="B45" s="114"/>
      <c r="C45" s="114"/>
      <c r="D45" s="114"/>
      <c r="E45" s="114"/>
      <c r="F45" s="114"/>
      <c r="G45" s="114"/>
    </row>
    <row r="46" spans="2:7" x14ac:dyDescent="0.25">
      <c r="B46" s="114"/>
      <c r="C46" s="114"/>
      <c r="D46" s="114"/>
      <c r="E46" s="114"/>
      <c r="F46" s="114"/>
      <c r="G46" s="114"/>
    </row>
    <row r="47" spans="2:7" x14ac:dyDescent="0.25">
      <c r="B47" s="114"/>
      <c r="C47" s="114"/>
      <c r="D47" s="114"/>
      <c r="E47" s="114"/>
      <c r="F47" s="114"/>
      <c r="G47" s="114"/>
    </row>
    <row r="48" spans="2:7" x14ac:dyDescent="0.25">
      <c r="B48" s="114"/>
      <c r="C48" s="114"/>
      <c r="D48" s="114"/>
      <c r="E48" s="114"/>
      <c r="F48" s="114"/>
      <c r="G48" s="114"/>
    </row>
    <row r="49" spans="2:7" x14ac:dyDescent="0.25">
      <c r="B49" s="114"/>
      <c r="C49" s="114"/>
      <c r="D49" s="114"/>
      <c r="E49" s="114"/>
      <c r="F49" s="114"/>
      <c r="G49" s="114"/>
    </row>
    <row r="50" spans="2:7" x14ac:dyDescent="0.25">
      <c r="B50" s="114"/>
      <c r="C50" s="114"/>
      <c r="D50" s="114"/>
      <c r="E50" s="114"/>
      <c r="F50" s="114"/>
      <c r="G50" s="114"/>
    </row>
    <row r="51" spans="2:7" x14ac:dyDescent="0.25">
      <c r="B51" s="114"/>
      <c r="C51" s="114"/>
      <c r="D51" s="114"/>
      <c r="E51" s="114"/>
      <c r="F51" s="114"/>
      <c r="G51" s="114"/>
    </row>
    <row r="52" spans="2:7" x14ac:dyDescent="0.25">
      <c r="B52" s="114"/>
      <c r="C52" s="114"/>
      <c r="D52" s="114"/>
      <c r="E52" s="114"/>
      <c r="F52" s="114"/>
      <c r="G52" s="114"/>
    </row>
    <row r="53" spans="2:7" x14ac:dyDescent="0.25">
      <c r="B53" s="114"/>
      <c r="C53" s="114"/>
      <c r="D53" s="114"/>
      <c r="E53" s="114"/>
      <c r="F53" s="114"/>
      <c r="G53" s="114"/>
    </row>
    <row r="54" spans="2:7" x14ac:dyDescent="0.25">
      <c r="B54" s="114"/>
      <c r="C54" s="114"/>
      <c r="D54" s="114"/>
      <c r="E54" s="114"/>
      <c r="F54" s="114"/>
      <c r="G54" s="114"/>
    </row>
    <row r="55" spans="2:7" x14ac:dyDescent="0.25">
      <c r="B55" s="114"/>
      <c r="C55" s="114"/>
      <c r="D55" s="114"/>
      <c r="E55" s="114"/>
      <c r="F55" s="114"/>
      <c r="G55" s="114"/>
    </row>
    <row r="56" spans="2:7" x14ac:dyDescent="0.25">
      <c r="B56" s="114"/>
      <c r="C56" s="114"/>
      <c r="D56" s="114"/>
      <c r="E56" s="114"/>
      <c r="F56" s="114"/>
      <c r="G56" s="114"/>
    </row>
    <row r="57" spans="2:7" x14ac:dyDescent="0.25">
      <c r="B57" s="114"/>
      <c r="C57" s="114"/>
      <c r="D57" s="114"/>
      <c r="E57" s="114"/>
      <c r="F57" s="114"/>
      <c r="G57" s="114"/>
    </row>
    <row r="58" spans="2:7" x14ac:dyDescent="0.25">
      <c r="B58" s="114"/>
      <c r="C58" s="114"/>
      <c r="D58" s="114"/>
      <c r="E58" s="114"/>
      <c r="F58" s="114"/>
      <c r="G58" s="114"/>
    </row>
    <row r="59" spans="2:7" x14ac:dyDescent="0.25">
      <c r="B59" s="114"/>
      <c r="C59" s="114"/>
      <c r="D59" s="114"/>
      <c r="E59" s="114"/>
      <c r="F59" s="114"/>
      <c r="G59" s="114"/>
    </row>
    <row r="60" spans="2:7" x14ac:dyDescent="0.25">
      <c r="B60" s="114"/>
      <c r="C60" s="114"/>
      <c r="D60" s="114"/>
      <c r="E60" s="114"/>
      <c r="F60" s="114"/>
      <c r="G60" s="114"/>
    </row>
    <row r="61" spans="2:7" x14ac:dyDescent="0.25">
      <c r="B61" s="114"/>
      <c r="C61" s="114"/>
      <c r="D61" s="114"/>
      <c r="E61" s="114"/>
      <c r="F61" s="114"/>
      <c r="G61" s="114"/>
    </row>
    <row r="62" spans="2:7" x14ac:dyDescent="0.25">
      <c r="B62" s="114"/>
      <c r="C62" s="114"/>
      <c r="D62" s="114"/>
      <c r="E62" s="114"/>
      <c r="F62" s="114"/>
      <c r="G62" s="114"/>
    </row>
    <row r="63" spans="2:7" x14ac:dyDescent="0.25">
      <c r="B63" s="114"/>
      <c r="C63" s="114"/>
      <c r="D63" s="114"/>
      <c r="E63" s="114"/>
      <c r="F63" s="114"/>
      <c r="G63" s="114"/>
    </row>
    <row r="64" spans="2:7" x14ac:dyDescent="0.25">
      <c r="B64" s="114"/>
      <c r="C64" s="114"/>
      <c r="D64" s="114"/>
      <c r="E64" s="114"/>
      <c r="F64" s="114"/>
      <c r="G64" s="114"/>
    </row>
    <row r="65" spans="2:7" x14ac:dyDescent="0.25">
      <c r="B65" s="114"/>
      <c r="C65" s="114"/>
      <c r="D65" s="114"/>
      <c r="E65" s="114"/>
      <c r="F65" s="114"/>
      <c r="G65" s="114"/>
    </row>
    <row r="66" spans="2:7" x14ac:dyDescent="0.25">
      <c r="B66" s="114"/>
      <c r="C66" s="114"/>
      <c r="D66" s="114"/>
      <c r="E66" s="114"/>
      <c r="F66" s="114"/>
      <c r="G66" s="114"/>
    </row>
    <row r="67" spans="2:7" x14ac:dyDescent="0.25">
      <c r="B67" s="114"/>
      <c r="C67" s="114"/>
      <c r="D67" s="114"/>
      <c r="E67" s="114"/>
      <c r="F67" s="114"/>
      <c r="G67" s="114"/>
    </row>
    <row r="68" spans="2:7" x14ac:dyDescent="0.25">
      <c r="B68" s="114"/>
      <c r="C68" s="114"/>
      <c r="D68" s="114"/>
      <c r="E68" s="114"/>
      <c r="F68" s="114"/>
      <c r="G68" s="114"/>
    </row>
    <row r="69" spans="2:7" x14ac:dyDescent="0.25">
      <c r="B69" s="114"/>
      <c r="C69" s="114"/>
      <c r="D69" s="114"/>
      <c r="E69" s="114"/>
      <c r="F69" s="114"/>
      <c r="G69" s="114"/>
    </row>
    <row r="70" spans="2:7" x14ac:dyDescent="0.25">
      <c r="B70" s="114"/>
      <c r="C70" s="114"/>
      <c r="D70" s="114"/>
      <c r="E70" s="114"/>
      <c r="F70" s="114"/>
      <c r="G70" s="114"/>
    </row>
    <row r="71" spans="2:7" x14ac:dyDescent="0.25">
      <c r="B71" s="114"/>
      <c r="C71" s="114"/>
      <c r="D71" s="114"/>
      <c r="E71" s="114"/>
      <c r="F71" s="114"/>
      <c r="G71" s="114"/>
    </row>
    <row r="72" spans="2:7" x14ac:dyDescent="0.25">
      <c r="B72" s="114"/>
      <c r="C72" s="114"/>
      <c r="D72" s="114"/>
      <c r="E72" s="114"/>
      <c r="F72" s="114"/>
      <c r="G72" s="114"/>
    </row>
    <row r="73" spans="2:7" x14ac:dyDescent="0.25">
      <c r="B73" s="114"/>
      <c r="C73" s="114"/>
      <c r="D73" s="114"/>
      <c r="E73" s="114"/>
      <c r="F73" s="114"/>
      <c r="G73" s="114"/>
    </row>
    <row r="74" spans="2:7" x14ac:dyDescent="0.25">
      <c r="B74" s="114"/>
      <c r="C74" s="114"/>
      <c r="D74" s="114"/>
      <c r="E74" s="114"/>
      <c r="F74" s="114"/>
      <c r="G74" s="114"/>
    </row>
    <row r="75" spans="2:7" x14ac:dyDescent="0.25">
      <c r="B75" s="114"/>
      <c r="C75" s="114"/>
      <c r="D75" s="114"/>
      <c r="E75" s="114"/>
      <c r="F75" s="114"/>
      <c r="G75" s="114"/>
    </row>
    <row r="76" spans="2:7" x14ac:dyDescent="0.25">
      <c r="B76" s="114"/>
      <c r="C76" s="114"/>
      <c r="D76" s="114"/>
      <c r="E76" s="114"/>
      <c r="F76" s="114"/>
      <c r="G76" s="114"/>
    </row>
    <row r="77" spans="2:7" x14ac:dyDescent="0.25">
      <c r="B77" s="114"/>
      <c r="C77" s="114"/>
      <c r="D77" s="114"/>
      <c r="E77" s="114"/>
      <c r="F77" s="114"/>
      <c r="G77" s="114"/>
    </row>
    <row r="78" spans="2:7" x14ac:dyDescent="0.25">
      <c r="B78" s="114"/>
      <c r="C78" s="114"/>
      <c r="D78" s="114"/>
      <c r="E78" s="114"/>
      <c r="F78" s="114"/>
      <c r="G78" s="114"/>
    </row>
    <row r="79" spans="2:7" x14ac:dyDescent="0.25">
      <c r="B79" s="114"/>
      <c r="C79" s="114"/>
      <c r="D79" s="114"/>
      <c r="E79" s="114"/>
      <c r="F79" s="114"/>
      <c r="G79" s="114"/>
    </row>
    <row r="80" spans="2:7" x14ac:dyDescent="0.25">
      <c r="B80" s="114"/>
      <c r="C80" s="114"/>
      <c r="D80" s="114"/>
      <c r="E80" s="114"/>
      <c r="F80" s="114"/>
      <c r="G80" s="114"/>
    </row>
    <row r="81" spans="2:7" x14ac:dyDescent="0.25">
      <c r="B81" s="114"/>
      <c r="C81" s="114"/>
      <c r="D81" s="114"/>
      <c r="E81" s="114"/>
      <c r="F81" s="114"/>
      <c r="G81" s="114"/>
    </row>
    <row r="82" spans="2:7" x14ac:dyDescent="0.25">
      <c r="B82" s="114"/>
      <c r="C82" s="114"/>
      <c r="D82" s="114"/>
      <c r="E82" s="114"/>
      <c r="F82" s="114"/>
      <c r="G82" s="114"/>
    </row>
    <row r="83" spans="2:7" x14ac:dyDescent="0.25">
      <c r="B83" s="114"/>
      <c r="C83" s="114"/>
      <c r="D83" s="114"/>
      <c r="E83" s="114"/>
      <c r="F83" s="114"/>
      <c r="G83" s="114"/>
    </row>
    <row r="84" spans="2:7" x14ac:dyDescent="0.25">
      <c r="B84" s="114"/>
      <c r="C84" s="114"/>
      <c r="D84" s="114"/>
      <c r="E84" s="114"/>
      <c r="F84" s="114"/>
      <c r="G84" s="114"/>
    </row>
    <row r="85" spans="2:7" x14ac:dyDescent="0.25">
      <c r="B85" s="114"/>
      <c r="C85" s="114"/>
      <c r="D85" s="114"/>
      <c r="E85" s="114"/>
      <c r="F85" s="114"/>
      <c r="G85" s="114"/>
    </row>
    <row r="86" spans="2:7" x14ac:dyDescent="0.25">
      <c r="B86" s="114"/>
      <c r="C86" s="114"/>
      <c r="D86" s="114"/>
      <c r="E86" s="114"/>
      <c r="F86" s="114"/>
      <c r="G86" s="114"/>
    </row>
    <row r="87" spans="2:7" x14ac:dyDescent="0.25">
      <c r="B87" s="114"/>
      <c r="C87" s="114"/>
      <c r="D87" s="114"/>
      <c r="E87" s="114"/>
      <c r="F87" s="114"/>
      <c r="G87" s="114"/>
    </row>
    <row r="88" spans="2:7" x14ac:dyDescent="0.25">
      <c r="B88" s="114"/>
      <c r="C88" s="114"/>
      <c r="D88" s="114"/>
      <c r="E88" s="114"/>
      <c r="F88" s="114"/>
      <c r="G88" s="114"/>
    </row>
    <row r="89" spans="2:7" x14ac:dyDescent="0.25">
      <c r="B89" s="114"/>
      <c r="C89" s="114"/>
      <c r="D89" s="114"/>
      <c r="E89" s="114"/>
      <c r="F89" s="114"/>
      <c r="G89" s="114"/>
    </row>
    <row r="90" spans="2:7" x14ac:dyDescent="0.25">
      <c r="B90" s="114"/>
      <c r="C90" s="114"/>
      <c r="D90" s="114"/>
      <c r="E90" s="114"/>
      <c r="F90" s="114"/>
      <c r="G90" s="114"/>
    </row>
    <row r="91" spans="2:7" x14ac:dyDescent="0.25">
      <c r="B91" s="114"/>
      <c r="C91" s="114"/>
      <c r="D91" s="114"/>
      <c r="E91" s="114"/>
      <c r="F91" s="114"/>
      <c r="G91" s="114"/>
    </row>
    <row r="92" spans="2:7" x14ac:dyDescent="0.25">
      <c r="B92" s="114"/>
      <c r="C92" s="114"/>
      <c r="D92" s="114"/>
      <c r="E92" s="114"/>
      <c r="F92" s="114"/>
      <c r="G92" s="114"/>
    </row>
    <row r="93" spans="2:7" x14ac:dyDescent="0.25">
      <c r="B93" s="114"/>
      <c r="C93" s="114"/>
      <c r="D93" s="114"/>
      <c r="E93" s="114"/>
      <c r="F93" s="114"/>
      <c r="G93" s="114"/>
    </row>
    <row r="94" spans="2:7" x14ac:dyDescent="0.25">
      <c r="B94" s="114"/>
      <c r="C94" s="114"/>
      <c r="D94" s="114"/>
      <c r="E94" s="114"/>
      <c r="F94" s="114"/>
      <c r="G94" s="114"/>
    </row>
    <row r="95" spans="2:7" x14ac:dyDescent="0.25">
      <c r="B95" s="114"/>
      <c r="C95" s="114"/>
      <c r="D95" s="114"/>
      <c r="E95" s="114"/>
      <c r="F95" s="114"/>
      <c r="G95" s="114"/>
    </row>
    <row r="96" spans="2:7" x14ac:dyDescent="0.25">
      <c r="B96" s="114"/>
      <c r="C96" s="114"/>
      <c r="D96" s="114"/>
      <c r="E96" s="114"/>
      <c r="F96" s="114"/>
      <c r="G96" s="114"/>
    </row>
    <row r="97" spans="2:7" x14ac:dyDescent="0.25">
      <c r="B97" s="114"/>
      <c r="C97" s="114"/>
      <c r="D97" s="114"/>
      <c r="E97" s="114"/>
      <c r="F97" s="114"/>
      <c r="G97" s="114"/>
    </row>
    <row r="98" spans="2:7" x14ac:dyDescent="0.25">
      <c r="B98" s="114"/>
      <c r="C98" s="114"/>
      <c r="D98" s="114"/>
      <c r="E98" s="114"/>
      <c r="F98" s="114"/>
      <c r="G98" s="114"/>
    </row>
    <row r="99" spans="2:7" x14ac:dyDescent="0.25">
      <c r="B99" s="114"/>
      <c r="C99" s="114"/>
      <c r="D99" s="114"/>
      <c r="E99" s="114"/>
      <c r="F99" s="114"/>
      <c r="G99" s="114"/>
    </row>
    <row r="100" spans="2:7" x14ac:dyDescent="0.25">
      <c r="B100" s="114"/>
      <c r="C100" s="114"/>
      <c r="D100" s="114"/>
      <c r="E100" s="114"/>
      <c r="F100" s="114"/>
      <c r="G100" s="114"/>
    </row>
    <row r="101" spans="2:7" x14ac:dyDescent="0.25">
      <c r="B101" s="114"/>
      <c r="C101" s="114"/>
      <c r="D101" s="114"/>
      <c r="E101" s="114"/>
      <c r="F101" s="114"/>
      <c r="G101" s="114"/>
    </row>
    <row r="102" spans="2:7" x14ac:dyDescent="0.25">
      <c r="B102" s="114"/>
      <c r="C102" s="114"/>
      <c r="D102" s="114"/>
      <c r="E102" s="114"/>
      <c r="F102" s="114"/>
      <c r="G102" s="114"/>
    </row>
    <row r="103" spans="2:7" x14ac:dyDescent="0.25">
      <c r="B103" s="114"/>
      <c r="C103" s="114"/>
      <c r="D103" s="114"/>
      <c r="E103" s="114"/>
      <c r="F103" s="114"/>
      <c r="G103" s="114"/>
    </row>
    <row r="104" spans="2:7" x14ac:dyDescent="0.25">
      <c r="B104" s="114"/>
      <c r="C104" s="114"/>
      <c r="D104" s="114"/>
      <c r="E104" s="114"/>
      <c r="F104" s="114"/>
      <c r="G104" s="114"/>
    </row>
    <row r="105" spans="2:7" x14ac:dyDescent="0.25">
      <c r="B105" s="114"/>
      <c r="C105" s="114"/>
      <c r="D105" s="114"/>
      <c r="E105" s="114"/>
      <c r="F105" s="114"/>
      <c r="G105" s="114"/>
    </row>
    <row r="106" spans="2:7" x14ac:dyDescent="0.25">
      <c r="B106" s="114"/>
      <c r="C106" s="114"/>
      <c r="D106" s="114"/>
      <c r="E106" s="114"/>
      <c r="F106" s="114"/>
      <c r="G106" s="114"/>
    </row>
    <row r="107" spans="2:7" x14ac:dyDescent="0.25">
      <c r="B107" s="114"/>
      <c r="C107" s="114"/>
      <c r="D107" s="114"/>
      <c r="E107" s="114"/>
      <c r="F107" s="114"/>
      <c r="G107" s="114"/>
    </row>
    <row r="108" spans="2:7" x14ac:dyDescent="0.25">
      <c r="B108" s="114"/>
      <c r="C108" s="114"/>
      <c r="D108" s="114"/>
      <c r="E108" s="114"/>
      <c r="F108" s="114"/>
      <c r="G108" s="114"/>
    </row>
    <row r="109" spans="2:7" x14ac:dyDescent="0.25">
      <c r="B109" s="114"/>
      <c r="C109" s="114"/>
      <c r="D109" s="114"/>
      <c r="E109" s="114"/>
      <c r="F109" s="114"/>
      <c r="G109" s="114"/>
    </row>
    <row r="110" spans="2:7" x14ac:dyDescent="0.25">
      <c r="B110" s="114"/>
      <c r="C110" s="114"/>
      <c r="D110" s="114"/>
      <c r="E110" s="114"/>
      <c r="F110" s="114"/>
      <c r="G110" s="114"/>
    </row>
    <row r="111" spans="2:7" x14ac:dyDescent="0.25">
      <c r="B111" s="114"/>
      <c r="C111" s="114"/>
      <c r="D111" s="114"/>
      <c r="E111" s="114"/>
      <c r="F111" s="114"/>
      <c r="G111" s="114"/>
    </row>
    <row r="112" spans="2:7" x14ac:dyDescent="0.25">
      <c r="B112" s="114"/>
      <c r="C112" s="114"/>
      <c r="D112" s="114"/>
      <c r="E112" s="114"/>
      <c r="F112" s="114"/>
      <c r="G112" s="114"/>
    </row>
    <row r="113" spans="2:7" x14ac:dyDescent="0.25">
      <c r="B113" s="114"/>
      <c r="C113" s="114"/>
      <c r="D113" s="114"/>
      <c r="E113" s="114"/>
      <c r="F113" s="114"/>
      <c r="G113" s="114"/>
    </row>
    <row r="114" spans="2:7" x14ac:dyDescent="0.25">
      <c r="B114" s="114"/>
      <c r="C114" s="114"/>
      <c r="D114" s="114"/>
      <c r="E114" s="114"/>
      <c r="F114" s="114"/>
      <c r="G114" s="114"/>
    </row>
    <row r="115" spans="2:7" x14ac:dyDescent="0.25">
      <c r="B115" s="114"/>
      <c r="C115" s="114"/>
      <c r="D115" s="114"/>
      <c r="E115" s="114"/>
      <c r="F115" s="114"/>
      <c r="G115" s="114"/>
    </row>
    <row r="116" spans="2:7" x14ac:dyDescent="0.25">
      <c r="B116" s="114"/>
      <c r="C116" s="114"/>
      <c r="D116" s="114"/>
      <c r="E116" s="114"/>
      <c r="F116" s="114"/>
      <c r="G116" s="114"/>
    </row>
    <row r="117" spans="2:7" x14ac:dyDescent="0.25">
      <c r="B117" s="114"/>
      <c r="C117" s="114"/>
      <c r="D117" s="114"/>
      <c r="E117" s="114"/>
      <c r="F117" s="114"/>
      <c r="G117" s="114"/>
    </row>
    <row r="118" spans="2:7" x14ac:dyDescent="0.25">
      <c r="B118" s="114"/>
      <c r="C118" s="114"/>
      <c r="D118" s="114"/>
      <c r="E118" s="114"/>
      <c r="F118" s="114"/>
      <c r="G118" s="114"/>
    </row>
    <row r="119" spans="2:7" x14ac:dyDescent="0.25">
      <c r="B119" s="114"/>
      <c r="C119" s="114"/>
      <c r="D119" s="114"/>
      <c r="E119" s="114"/>
      <c r="F119" s="114"/>
      <c r="G119" s="114"/>
    </row>
    <row r="120" spans="2:7" x14ac:dyDescent="0.25">
      <c r="B120" s="114"/>
      <c r="C120" s="114"/>
      <c r="D120" s="114"/>
      <c r="E120" s="114"/>
      <c r="F120" s="114"/>
      <c r="G120" s="114"/>
    </row>
    <row r="121" spans="2:7" x14ac:dyDescent="0.25">
      <c r="B121" s="114"/>
      <c r="C121" s="114"/>
      <c r="D121" s="114"/>
      <c r="E121" s="114"/>
      <c r="F121" s="114"/>
      <c r="G121" s="114"/>
    </row>
    <row r="122" spans="2:7" x14ac:dyDescent="0.25">
      <c r="B122" s="114"/>
      <c r="C122" s="114"/>
      <c r="D122" s="114"/>
      <c r="E122" s="114"/>
      <c r="F122" s="114"/>
      <c r="G122" s="114"/>
    </row>
    <row r="123" spans="2:7" x14ac:dyDescent="0.25">
      <c r="B123" s="114"/>
      <c r="C123" s="114"/>
      <c r="D123" s="114"/>
      <c r="E123" s="114"/>
      <c r="F123" s="114"/>
      <c r="G123" s="114"/>
    </row>
    <row r="124" spans="2:7" x14ac:dyDescent="0.25">
      <c r="B124" s="114"/>
      <c r="C124" s="114"/>
      <c r="D124" s="114"/>
      <c r="E124" s="114"/>
      <c r="F124" s="114"/>
      <c r="G124" s="114"/>
    </row>
    <row r="125" spans="2:7" x14ac:dyDescent="0.25">
      <c r="B125" s="114"/>
      <c r="C125" s="114"/>
      <c r="D125" s="114"/>
      <c r="E125" s="114"/>
      <c r="F125" s="114"/>
      <c r="G125" s="114"/>
    </row>
    <row r="126" spans="2:7" x14ac:dyDescent="0.25">
      <c r="B126" s="114"/>
      <c r="C126" s="114"/>
      <c r="D126" s="114"/>
      <c r="E126" s="114"/>
      <c r="F126" s="114"/>
      <c r="G126" s="114"/>
    </row>
    <row r="127" spans="2:7" x14ac:dyDescent="0.25">
      <c r="B127" s="114"/>
      <c r="C127" s="114"/>
      <c r="D127" s="114"/>
      <c r="E127" s="114"/>
      <c r="F127" s="114"/>
      <c r="G127" s="114"/>
    </row>
    <row r="128" spans="2:7" x14ac:dyDescent="0.25">
      <c r="B128" s="114"/>
      <c r="C128" s="114"/>
      <c r="D128" s="114"/>
      <c r="E128" s="114"/>
      <c r="F128" s="114"/>
      <c r="G128" s="114"/>
    </row>
    <row r="129" spans="2:7" x14ac:dyDescent="0.25">
      <c r="B129" s="114"/>
      <c r="C129" s="114"/>
      <c r="D129" s="114"/>
      <c r="E129" s="114"/>
      <c r="F129" s="114"/>
      <c r="G129" s="114"/>
    </row>
    <row r="130" spans="2:7" x14ac:dyDescent="0.25">
      <c r="B130" s="114"/>
      <c r="C130" s="114"/>
      <c r="D130" s="114"/>
      <c r="E130" s="114"/>
      <c r="F130" s="114"/>
      <c r="G130" s="114"/>
    </row>
    <row r="131" spans="2:7" x14ac:dyDescent="0.25">
      <c r="B131" s="114"/>
      <c r="C131" s="114"/>
      <c r="D131" s="114"/>
      <c r="E131" s="114"/>
      <c r="F131" s="114"/>
      <c r="G131" s="114"/>
    </row>
    <row r="132" spans="2:7" x14ac:dyDescent="0.25">
      <c r="B132" s="114"/>
      <c r="C132" s="114"/>
      <c r="D132" s="114"/>
      <c r="E132" s="114"/>
      <c r="F132" s="114"/>
      <c r="G132" s="114"/>
    </row>
    <row r="133" spans="2:7" x14ac:dyDescent="0.25">
      <c r="B133" s="114"/>
      <c r="C133" s="114"/>
      <c r="D133" s="114"/>
      <c r="E133" s="114"/>
      <c r="F133" s="114"/>
      <c r="G133" s="114"/>
    </row>
    <row r="134" spans="2:7" x14ac:dyDescent="0.25">
      <c r="B134" s="114"/>
      <c r="C134" s="114"/>
      <c r="D134" s="114"/>
      <c r="E134" s="114"/>
      <c r="F134" s="114"/>
      <c r="G134" s="114"/>
    </row>
    <row r="135" spans="2:7" x14ac:dyDescent="0.25">
      <c r="B135" s="114"/>
      <c r="C135" s="114"/>
      <c r="D135" s="114"/>
      <c r="E135" s="114"/>
      <c r="F135" s="114"/>
      <c r="G135" s="114"/>
    </row>
    <row r="136" spans="2:7" x14ac:dyDescent="0.25">
      <c r="B136" s="114"/>
      <c r="C136" s="114"/>
      <c r="D136" s="114"/>
      <c r="E136" s="114"/>
      <c r="F136" s="114"/>
      <c r="G136" s="114"/>
    </row>
    <row r="137" spans="2:7" x14ac:dyDescent="0.25">
      <c r="B137" s="114"/>
      <c r="C137" s="114"/>
      <c r="D137" s="114"/>
      <c r="E137" s="114"/>
      <c r="F137" s="114"/>
      <c r="G137" s="114"/>
    </row>
    <row r="138" spans="2:7" x14ac:dyDescent="0.25">
      <c r="B138" s="114"/>
      <c r="C138" s="114"/>
      <c r="D138" s="114"/>
      <c r="E138" s="114"/>
      <c r="F138" s="114"/>
      <c r="G138" s="114"/>
    </row>
    <row r="139" spans="2:7" x14ac:dyDescent="0.25">
      <c r="B139" s="114"/>
      <c r="C139" s="114"/>
      <c r="D139" s="114"/>
      <c r="E139" s="114"/>
      <c r="F139" s="114"/>
      <c r="G139" s="114"/>
    </row>
    <row r="140" spans="2:7" x14ac:dyDescent="0.25">
      <c r="B140" s="114"/>
      <c r="C140" s="114"/>
      <c r="D140" s="114"/>
      <c r="E140" s="114"/>
      <c r="F140" s="114"/>
      <c r="G140" s="114"/>
    </row>
    <row r="141" spans="2:7" x14ac:dyDescent="0.25">
      <c r="B141" s="114"/>
      <c r="C141" s="114"/>
      <c r="D141" s="114"/>
      <c r="E141" s="114"/>
      <c r="F141" s="114"/>
      <c r="G141" s="114"/>
    </row>
    <row r="142" spans="2:7" x14ac:dyDescent="0.25">
      <c r="B142" s="114"/>
      <c r="C142" s="114"/>
      <c r="D142" s="114"/>
      <c r="E142" s="114"/>
      <c r="F142" s="114"/>
      <c r="G142" s="114"/>
    </row>
    <row r="143" spans="2:7" x14ac:dyDescent="0.25">
      <c r="B143" s="114"/>
      <c r="C143" s="114"/>
      <c r="D143" s="114"/>
      <c r="E143" s="114"/>
      <c r="F143" s="114"/>
      <c r="G143" s="114"/>
    </row>
    <row r="144" spans="2:7" x14ac:dyDescent="0.25">
      <c r="B144" s="114"/>
      <c r="C144" s="114"/>
      <c r="D144" s="114"/>
      <c r="E144" s="114"/>
      <c r="F144" s="114"/>
      <c r="G144" s="114"/>
    </row>
    <row r="145" spans="2:7" x14ac:dyDescent="0.25">
      <c r="B145" s="114"/>
      <c r="C145" s="114"/>
      <c r="D145" s="114"/>
      <c r="E145" s="114"/>
      <c r="F145" s="114"/>
      <c r="G145" s="114"/>
    </row>
    <row r="146" spans="2:7" x14ac:dyDescent="0.25">
      <c r="B146" s="114"/>
      <c r="C146" s="114"/>
      <c r="D146" s="114"/>
      <c r="E146" s="114"/>
      <c r="F146" s="114"/>
      <c r="G146" s="114"/>
    </row>
    <row r="147" spans="2:7" x14ac:dyDescent="0.25">
      <c r="B147" s="114"/>
      <c r="C147" s="114"/>
      <c r="D147" s="114"/>
      <c r="E147" s="114"/>
      <c r="F147" s="114"/>
      <c r="G147" s="114"/>
    </row>
    <row r="148" spans="2:7" x14ac:dyDescent="0.25">
      <c r="B148" s="114"/>
      <c r="C148" s="114"/>
      <c r="D148" s="114"/>
      <c r="E148" s="114"/>
      <c r="F148" s="114"/>
      <c r="G148" s="114"/>
    </row>
    <row r="149" spans="2:7" x14ac:dyDescent="0.25">
      <c r="B149" s="114"/>
      <c r="C149" s="114"/>
      <c r="D149" s="114"/>
      <c r="E149" s="114"/>
      <c r="F149" s="114"/>
      <c r="G149" s="114"/>
    </row>
    <row r="150" spans="2:7" x14ac:dyDescent="0.25">
      <c r="B150" s="114"/>
      <c r="C150" s="114"/>
      <c r="D150" s="114"/>
      <c r="E150" s="114"/>
      <c r="F150" s="114"/>
      <c r="G150" s="114"/>
    </row>
    <row r="151" spans="2:7" x14ac:dyDescent="0.25">
      <c r="B151" s="114"/>
      <c r="C151" s="114"/>
      <c r="D151" s="114"/>
      <c r="E151" s="114"/>
      <c r="F151" s="114"/>
      <c r="G151" s="114"/>
    </row>
    <row r="152" spans="2:7" x14ac:dyDescent="0.25">
      <c r="B152" s="114"/>
      <c r="C152" s="114"/>
      <c r="D152" s="114"/>
      <c r="E152" s="114"/>
      <c r="F152" s="114"/>
      <c r="G152" s="114"/>
    </row>
    <row r="153" spans="2:7" x14ac:dyDescent="0.25">
      <c r="B153" s="114"/>
      <c r="C153" s="114"/>
      <c r="D153" s="114"/>
      <c r="E153" s="114"/>
      <c r="F153" s="114"/>
      <c r="G153" s="114"/>
    </row>
    <row r="154" spans="2:7" x14ac:dyDescent="0.25">
      <c r="B154" s="114"/>
      <c r="C154" s="114"/>
      <c r="D154" s="114"/>
      <c r="E154" s="114"/>
      <c r="F154" s="114"/>
      <c r="G154" s="114"/>
    </row>
    <row r="155" spans="2:7" x14ac:dyDescent="0.25">
      <c r="B155" s="114"/>
      <c r="C155" s="114"/>
      <c r="D155" s="114"/>
      <c r="E155" s="114"/>
      <c r="F155" s="114"/>
      <c r="G155" s="114"/>
    </row>
    <row r="156" spans="2:7" x14ac:dyDescent="0.25">
      <c r="B156" s="114"/>
      <c r="C156" s="114"/>
      <c r="D156" s="114"/>
      <c r="E156" s="114"/>
      <c r="F156" s="114"/>
      <c r="G156" s="114"/>
    </row>
    <row r="157" spans="2:7" x14ac:dyDescent="0.25">
      <c r="B157" s="114"/>
      <c r="C157" s="114"/>
      <c r="D157" s="114"/>
      <c r="E157" s="114"/>
      <c r="F157" s="114"/>
      <c r="G157" s="114"/>
    </row>
    <row r="158" spans="2:7" x14ac:dyDescent="0.25">
      <c r="B158" s="114"/>
      <c r="C158" s="114"/>
      <c r="D158" s="114"/>
      <c r="E158" s="114"/>
      <c r="F158" s="114"/>
      <c r="G158" s="114"/>
    </row>
    <row r="159" spans="2:7" x14ac:dyDescent="0.25">
      <c r="B159" s="114"/>
      <c r="C159" s="114"/>
      <c r="D159" s="114"/>
      <c r="E159" s="114"/>
      <c r="F159" s="114"/>
      <c r="G159" s="114"/>
    </row>
    <row r="160" spans="2:7" x14ac:dyDescent="0.25">
      <c r="B160" s="114"/>
      <c r="C160" s="114"/>
      <c r="D160" s="114"/>
      <c r="E160" s="114"/>
      <c r="F160" s="114"/>
      <c r="G160" s="114"/>
    </row>
    <row r="161" spans="2:7" x14ac:dyDescent="0.25">
      <c r="B161" s="114"/>
      <c r="C161" s="114"/>
      <c r="D161" s="114"/>
      <c r="E161" s="114"/>
      <c r="F161" s="114"/>
      <c r="G161" s="114"/>
    </row>
    <row r="162" spans="2:7" x14ac:dyDescent="0.25">
      <c r="B162" s="114"/>
      <c r="C162" s="114"/>
      <c r="D162" s="114"/>
      <c r="E162" s="114"/>
      <c r="F162" s="114"/>
      <c r="G162" s="114"/>
    </row>
    <row r="163" spans="2:7" x14ac:dyDescent="0.25">
      <c r="B163" s="114"/>
      <c r="C163" s="114"/>
      <c r="D163" s="114"/>
      <c r="E163" s="114"/>
      <c r="F163" s="114"/>
      <c r="G163" s="114"/>
    </row>
    <row r="164" spans="2:7" x14ac:dyDescent="0.25">
      <c r="B164" s="114"/>
      <c r="C164" s="114"/>
      <c r="D164" s="114"/>
      <c r="E164" s="114"/>
      <c r="F164" s="114"/>
      <c r="G164" s="114"/>
    </row>
    <row r="165" spans="2:7" x14ac:dyDescent="0.25">
      <c r="B165" s="114"/>
      <c r="C165" s="114"/>
      <c r="D165" s="114"/>
      <c r="E165" s="114"/>
      <c r="F165" s="114"/>
      <c r="G165" s="114"/>
    </row>
    <row r="166" spans="2:7" x14ac:dyDescent="0.25">
      <c r="B166" s="114"/>
      <c r="C166" s="114"/>
      <c r="D166" s="114"/>
      <c r="E166" s="114"/>
      <c r="F166" s="114"/>
      <c r="G166" s="114"/>
    </row>
    <row r="167" spans="2:7" x14ac:dyDescent="0.25">
      <c r="B167" s="114"/>
      <c r="C167" s="114"/>
      <c r="D167" s="114"/>
      <c r="E167" s="114"/>
      <c r="F167" s="114"/>
      <c r="G167" s="114"/>
    </row>
    <row r="168" spans="2:7" x14ac:dyDescent="0.25">
      <c r="B168" s="114"/>
      <c r="C168" s="114"/>
      <c r="D168" s="114"/>
      <c r="E168" s="114"/>
      <c r="F168" s="114"/>
      <c r="G168" s="114"/>
    </row>
    <row r="169" spans="2:7" x14ac:dyDescent="0.25">
      <c r="B169" s="114"/>
      <c r="C169" s="114"/>
      <c r="D169" s="114"/>
      <c r="E169" s="114"/>
      <c r="F169" s="114"/>
      <c r="G169" s="114"/>
    </row>
    <row r="170" spans="2:7" x14ac:dyDescent="0.25">
      <c r="B170" s="114"/>
      <c r="C170" s="114"/>
      <c r="D170" s="114"/>
      <c r="E170" s="114"/>
      <c r="F170" s="114"/>
      <c r="G170" s="114"/>
    </row>
    <row r="171" spans="2:7" x14ac:dyDescent="0.25">
      <c r="B171" s="114"/>
      <c r="C171" s="114"/>
      <c r="D171" s="114"/>
      <c r="E171" s="114"/>
      <c r="F171" s="114"/>
      <c r="G171" s="114"/>
    </row>
    <row r="172" spans="2:7" x14ac:dyDescent="0.25">
      <c r="B172" s="114"/>
      <c r="C172" s="114"/>
      <c r="D172" s="114"/>
      <c r="E172" s="114"/>
      <c r="F172" s="114"/>
      <c r="G172" s="114"/>
    </row>
    <row r="173" spans="2:7" x14ac:dyDescent="0.25">
      <c r="B173" s="114"/>
      <c r="C173" s="114"/>
      <c r="D173" s="114"/>
      <c r="E173" s="114"/>
      <c r="F173" s="114"/>
      <c r="G173" s="114"/>
    </row>
    <row r="174" spans="2:7" x14ac:dyDescent="0.25">
      <c r="B174" s="114"/>
      <c r="C174" s="114"/>
      <c r="D174" s="114"/>
      <c r="E174" s="114"/>
      <c r="F174" s="114"/>
      <c r="G174" s="114"/>
    </row>
    <row r="175" spans="2:7" x14ac:dyDescent="0.25">
      <c r="B175" s="114"/>
      <c r="C175" s="114"/>
      <c r="D175" s="114"/>
      <c r="E175" s="114"/>
      <c r="F175" s="114"/>
      <c r="G175" s="114"/>
    </row>
    <row r="176" spans="2:7" x14ac:dyDescent="0.25">
      <c r="B176" s="114"/>
      <c r="C176" s="114"/>
      <c r="D176" s="114"/>
      <c r="E176" s="114"/>
      <c r="F176" s="114"/>
      <c r="G176" s="114"/>
    </row>
    <row r="177" spans="2:7" x14ac:dyDescent="0.25">
      <c r="B177" s="114"/>
      <c r="C177" s="114"/>
      <c r="D177" s="114"/>
      <c r="E177" s="114"/>
      <c r="F177" s="114"/>
      <c r="G177" s="114"/>
    </row>
    <row r="178" spans="2:7" x14ac:dyDescent="0.25">
      <c r="B178" s="114"/>
      <c r="C178" s="114"/>
      <c r="D178" s="114"/>
      <c r="E178" s="114"/>
      <c r="F178" s="114"/>
      <c r="G178" s="114"/>
    </row>
    <row r="179" spans="2:7" x14ac:dyDescent="0.25">
      <c r="B179" s="114"/>
      <c r="C179" s="114"/>
      <c r="D179" s="114"/>
      <c r="E179" s="114"/>
      <c r="F179" s="114"/>
      <c r="G179" s="114"/>
    </row>
    <row r="180" spans="2:7" x14ac:dyDescent="0.25">
      <c r="B180" s="114"/>
      <c r="C180" s="114"/>
      <c r="D180" s="114"/>
      <c r="E180" s="114"/>
      <c r="F180" s="114"/>
      <c r="G180" s="114"/>
    </row>
    <row r="181" spans="2:7" x14ac:dyDescent="0.25">
      <c r="B181" s="114"/>
      <c r="C181" s="114"/>
      <c r="D181" s="114"/>
      <c r="E181" s="114"/>
      <c r="F181" s="114"/>
      <c r="G181" s="114"/>
    </row>
    <row r="182" spans="2:7" x14ac:dyDescent="0.25">
      <c r="B182" s="114"/>
      <c r="C182" s="114"/>
      <c r="D182" s="114"/>
      <c r="E182" s="114"/>
      <c r="F182" s="114"/>
      <c r="G182" s="114"/>
    </row>
  </sheetData>
  <mergeCells count="9">
    <mergeCell ref="M1:Z1"/>
    <mergeCell ref="A27:F27"/>
    <mergeCell ref="A23:J23"/>
    <mergeCell ref="A1:J1"/>
    <mergeCell ref="A2:J2"/>
    <mergeCell ref="A4:J4"/>
    <mergeCell ref="A7:J7"/>
    <mergeCell ref="A12:J12"/>
    <mergeCell ref="A16:J16"/>
  </mergeCells>
  <pageMargins left="0.7" right="0.7" top="0.75" bottom="0.75" header="0.3" footer="0.3"/>
  <drawing r:id="rId1"/>
  <extLst>
    <ext xmlns:x14="http://schemas.microsoft.com/office/spreadsheetml/2009/9/main" uri="{05C60535-1F16-4fd2-B633-F4F36F0B64E0}">
      <x14:sparklineGroups xmlns:xm="http://schemas.microsoft.com/office/excel/2006/main">
        <x14:sparklineGroup displayEmptyCellsAs="gap" markers="1" xr2:uid="{00000000-0003-0000-0400-000004000000}">
          <x14:colorSeries rgb="FF376092"/>
          <x14:colorNegative rgb="FFD00000"/>
          <x14:colorAxis rgb="FF000000"/>
          <x14:colorMarkers rgb="FFD00000"/>
          <x14:colorFirst rgb="FFD00000"/>
          <x14:colorLast rgb="FFD00000"/>
          <x14:colorHigh rgb="FFD00000"/>
          <x14:colorLow rgb="FFD00000"/>
          <x14:sparklines>
            <x14:sparkline>
              <xm:f>'Ratio Analysis'!C24:G24</xm:f>
              <xm:sqref>H24</xm:sqref>
            </x14:sparkline>
            <x14:sparkline>
              <xm:f>'Ratio Analysis'!C25:G25</xm:f>
              <xm:sqref>H25</xm:sqref>
            </x14:sparkline>
          </x14:sparklines>
        </x14:sparklineGroup>
        <x14:sparklineGroup displayEmptyCellsAs="gap" markers="1" xr2:uid="{00000000-0003-0000-0400-000003000000}">
          <x14:colorSeries rgb="FF376092"/>
          <x14:colorNegative rgb="FFD00000"/>
          <x14:colorAxis rgb="FF000000"/>
          <x14:colorMarkers rgb="FFD00000"/>
          <x14:colorFirst rgb="FFD00000"/>
          <x14:colorLast rgb="FFD00000"/>
          <x14:colorHigh rgb="FFD00000"/>
          <x14:colorLow rgb="FFD00000"/>
          <x14:sparklines>
            <x14:sparkline>
              <xm:f>'Ratio Analysis'!C17:G17</xm:f>
              <xm:sqref>H17</xm:sqref>
            </x14:sparkline>
            <x14:sparkline>
              <xm:f>'Ratio Analysis'!C18:G18</xm:f>
              <xm:sqref>H18</xm:sqref>
            </x14:sparkline>
            <x14:sparkline>
              <xm:f>'Ratio Analysis'!C19:G19</xm:f>
              <xm:sqref>H19</xm:sqref>
            </x14:sparkline>
            <x14:sparkline>
              <xm:f>'Ratio Analysis'!C20:G20</xm:f>
              <xm:sqref>H20</xm:sqref>
            </x14:sparkline>
            <x14:sparkline>
              <xm:f>'Ratio Analysis'!C21:G21</xm:f>
              <xm:sqref>H21</xm:sqref>
            </x14:sparkline>
            <x14:sparkline>
              <xm:f>'Ratio Analysis'!C22:G22</xm:f>
              <xm:sqref>H22</xm:sqref>
            </x14:sparkline>
          </x14:sparklines>
        </x14:sparklineGroup>
        <x14:sparklineGroup displayEmptyCellsAs="gap" markers="1" xr2:uid="{00000000-0003-0000-0400-000002000000}">
          <x14:colorSeries rgb="FF376092"/>
          <x14:colorNegative rgb="FFD00000"/>
          <x14:colorAxis rgb="FF000000"/>
          <x14:colorMarkers rgb="FFD00000"/>
          <x14:colorFirst rgb="FFD00000"/>
          <x14:colorLast rgb="FFD00000"/>
          <x14:colorHigh rgb="FFD00000"/>
          <x14:colorLow rgb="FFD00000"/>
          <x14:sparklines>
            <x14:sparkline>
              <xm:f>'Ratio Analysis'!C13:G13</xm:f>
              <xm:sqref>H13</xm:sqref>
            </x14:sparkline>
            <x14:sparkline>
              <xm:f>'Ratio Analysis'!C14:G14</xm:f>
              <xm:sqref>H14</xm:sqref>
            </x14:sparkline>
            <x14:sparkline>
              <xm:f>'Ratio Analysis'!C15:G15</xm:f>
              <xm:sqref>H15</xm:sqref>
            </x14:sparkline>
          </x14:sparklines>
        </x14:sparklineGroup>
        <x14:sparklineGroup displayEmptyCellsAs="gap" markers="1" xr2:uid="{00000000-0003-0000-0400-000001000000}">
          <x14:colorSeries rgb="FF376092"/>
          <x14:colorNegative rgb="FFD00000"/>
          <x14:colorAxis rgb="FF000000"/>
          <x14:colorMarkers rgb="FFD00000"/>
          <x14:colorFirst rgb="FFD00000"/>
          <x14:colorLast rgb="FFD00000"/>
          <x14:colorHigh rgb="FFD00000"/>
          <x14:colorLow rgb="FFD00000"/>
          <x14:sparklines>
            <x14:sparkline>
              <xm:f>'Ratio Analysis'!C8:G8</xm:f>
              <xm:sqref>H8</xm:sqref>
            </x14:sparkline>
            <x14:sparkline>
              <xm:f>'Ratio Analysis'!C9:G9</xm:f>
              <xm:sqref>H9</xm:sqref>
            </x14:sparkline>
            <x14:sparkline>
              <xm:f>'Ratio Analysis'!C10:G10</xm:f>
              <xm:sqref>H10</xm:sqref>
            </x14:sparkline>
            <x14:sparkline>
              <xm:f>'Ratio Analysis'!C11:G11</xm:f>
              <xm:sqref>H11</xm:sqref>
            </x14:sparkline>
          </x14:sparklines>
        </x14:sparklineGroup>
        <x14:sparklineGroup displayEmptyCellsAs="gap" markers="1" xr2:uid="{00000000-0003-0000-0400-000000000000}">
          <x14:colorSeries rgb="FF376092"/>
          <x14:colorNegative rgb="FFD00000"/>
          <x14:colorAxis rgb="FF000000"/>
          <x14:colorMarkers rgb="FFD00000"/>
          <x14:colorFirst rgb="FFD00000"/>
          <x14:colorLast rgb="FFD00000"/>
          <x14:colorHigh rgb="FFD00000"/>
          <x14:colorLow rgb="FFD00000"/>
          <x14:sparklines>
            <x14:sparkline>
              <xm:f>'Ratio Analysis'!C5:G5</xm:f>
              <xm:sqref>H5</xm:sqref>
            </x14:sparkline>
            <x14:sparkline>
              <xm:f>'Ratio Analysis'!C6:G6</xm:f>
              <xm:sqref>H6</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5" tint="0.79998168889431442"/>
  </sheetPr>
  <dimension ref="A1:V49"/>
  <sheetViews>
    <sheetView zoomScale="77" zoomScaleNormal="77" workbookViewId="0">
      <selection activeCell="G19" sqref="G19"/>
    </sheetView>
  </sheetViews>
  <sheetFormatPr defaultColWidth="8.88671875" defaultRowHeight="15.6" x14ac:dyDescent="0.3"/>
  <cols>
    <col min="1" max="1" width="17.33203125" style="5" bestFit="1" customWidth="1"/>
    <col min="2" max="2" width="20.88671875" style="5" bestFit="1" customWidth="1"/>
    <col min="3" max="11" width="28.5546875" style="5" customWidth="1"/>
    <col min="12" max="12" width="12.33203125" style="5" customWidth="1"/>
    <col min="13" max="19" width="28.5546875" style="5" customWidth="1"/>
    <col min="20" max="20" width="15.5546875" style="5" bestFit="1" customWidth="1"/>
    <col min="21" max="22" width="15.109375" style="5" bestFit="1" customWidth="1"/>
    <col min="23" max="16384" width="8.88671875" style="5"/>
  </cols>
  <sheetData>
    <row r="1" spans="1:19" ht="21.6" thickBot="1" x14ac:dyDescent="0.45">
      <c r="A1" s="4"/>
      <c r="B1" s="4"/>
      <c r="C1" s="501" t="s">
        <v>137</v>
      </c>
      <c r="D1" s="511"/>
      <c r="E1" s="511"/>
      <c r="F1" s="511"/>
      <c r="G1" s="512"/>
      <c r="J1" s="501" t="s">
        <v>139</v>
      </c>
      <c r="K1" s="503"/>
      <c r="N1" s="501" t="s">
        <v>138</v>
      </c>
      <c r="O1" s="502"/>
      <c r="P1" s="502"/>
      <c r="Q1" s="502"/>
      <c r="R1" s="502"/>
      <c r="S1" s="503"/>
    </row>
    <row r="2" spans="1:19" ht="31.2" x14ac:dyDescent="0.3">
      <c r="A2" s="6"/>
      <c r="B2" s="6"/>
      <c r="C2" s="74" t="s">
        <v>140</v>
      </c>
      <c r="D2" s="75" t="s">
        <v>141</v>
      </c>
      <c r="E2" s="75" t="s">
        <v>142</v>
      </c>
      <c r="F2" s="75" t="s">
        <v>143</v>
      </c>
      <c r="G2" s="75" t="s">
        <v>144</v>
      </c>
      <c r="J2" s="77" t="s">
        <v>145</v>
      </c>
      <c r="K2" s="77">
        <v>2019</v>
      </c>
      <c r="M2" s="7" t="s">
        <v>145</v>
      </c>
      <c r="N2" s="76" t="s">
        <v>34</v>
      </c>
      <c r="O2" s="77">
        <v>2020</v>
      </c>
      <c r="P2" s="77">
        <v>2021</v>
      </c>
      <c r="Q2" s="77">
        <v>2022</v>
      </c>
      <c r="R2" s="77">
        <v>2023</v>
      </c>
      <c r="S2" s="77">
        <v>2024</v>
      </c>
    </row>
    <row r="3" spans="1:19" x14ac:dyDescent="0.3">
      <c r="A3" s="500" t="s">
        <v>146</v>
      </c>
      <c r="B3" s="8">
        <v>2015</v>
      </c>
      <c r="C3" s="293">
        <f>'Historical Income Statements'!F4</f>
        <v>23821926000</v>
      </c>
      <c r="D3" s="9">
        <f>(C3-27882887000)/27882887000</f>
        <v>-0.1456434909340629</v>
      </c>
      <c r="E3" s="10">
        <v>4.7300000000000002E-2</v>
      </c>
      <c r="F3" s="10">
        <v>5.5500000000000001E-2</v>
      </c>
      <c r="G3" s="11">
        <v>2.53E-2</v>
      </c>
      <c r="J3" s="12" t="s">
        <v>147</v>
      </c>
      <c r="K3" s="250">
        <v>15380000000</v>
      </c>
      <c r="M3" s="12" t="s">
        <v>147</v>
      </c>
      <c r="N3" s="10">
        <f>(K3/$K$10)</f>
        <v>0.4204282304818176</v>
      </c>
      <c r="O3" s="348">
        <v>-0.05</v>
      </c>
      <c r="P3" s="348">
        <v>-2.5000000000000001E-2</v>
      </c>
      <c r="Q3" s="348">
        <v>-0.01</v>
      </c>
      <c r="R3" s="348">
        <v>0</v>
      </c>
      <c r="S3" s="348">
        <v>0</v>
      </c>
    </row>
    <row r="4" spans="1:19" x14ac:dyDescent="0.3">
      <c r="A4" s="500"/>
      <c r="B4" s="8">
        <v>2016</v>
      </c>
      <c r="C4" s="293">
        <f>'Historical Income Statements'!E4</f>
        <v>27563533000</v>
      </c>
      <c r="D4" s="9">
        <f>(C4-C3)/C3</f>
        <v>0.15706567974394681</v>
      </c>
      <c r="E4" s="10">
        <v>5.5300000000000002E-2</v>
      </c>
      <c r="F4" s="10">
        <v>7.1999999999999995E-2</v>
      </c>
      <c r="G4" s="11">
        <v>3.7699999999999997E-2</v>
      </c>
      <c r="J4" s="12" t="s">
        <v>148</v>
      </c>
      <c r="K4" s="250">
        <v>4390000000</v>
      </c>
      <c r="M4" s="12" t="s">
        <v>148</v>
      </c>
      <c r="N4" s="10">
        <f t="shared" ref="N4:N9" si="0">(K4/$K$10)</f>
        <v>0.12000519712712479</v>
      </c>
      <c r="O4" s="348">
        <v>-0.19732526292203101</v>
      </c>
      <c r="P4" s="348">
        <v>-0.15</v>
      </c>
      <c r="Q4" s="348">
        <v>-0.05</v>
      </c>
      <c r="R4" s="348">
        <v>-0.03</v>
      </c>
      <c r="S4" s="348">
        <v>0</v>
      </c>
    </row>
    <row r="5" spans="1:19" x14ac:dyDescent="0.3">
      <c r="A5" s="500"/>
      <c r="B5" s="8">
        <v>2017</v>
      </c>
      <c r="C5" s="293">
        <f>'Historical Income Statements'!D4</f>
        <v>32773770000</v>
      </c>
      <c r="D5" s="9">
        <f t="shared" ref="D5:D7" si="1">(C5-C4)/C4</f>
        <v>0.18902645752995453</v>
      </c>
      <c r="E5" s="10">
        <v>5.5399999999999998E-2</v>
      </c>
      <c r="F5" s="10">
        <v>7.9000000000000001E-2</v>
      </c>
      <c r="G5" s="11">
        <v>4.0849999999999997E-2</v>
      </c>
      <c r="J5" s="12" t="s">
        <v>149</v>
      </c>
      <c r="K5" s="250">
        <v>1540000000</v>
      </c>
      <c r="M5" s="12" t="s">
        <v>149</v>
      </c>
      <c r="N5" s="10">
        <f t="shared" si="0"/>
        <v>4.2097495119765869E-2</v>
      </c>
      <c r="O5" s="348">
        <v>-0.05</v>
      </c>
      <c r="P5" s="348">
        <v>2.5000000000000001E-2</v>
      </c>
      <c r="Q5" s="348">
        <v>0.03</v>
      </c>
      <c r="R5" s="348">
        <v>0</v>
      </c>
      <c r="S5" s="348">
        <v>0</v>
      </c>
    </row>
    <row r="6" spans="1:19" x14ac:dyDescent="0.3">
      <c r="A6" s="500"/>
      <c r="B6" s="8">
        <v>2018</v>
      </c>
      <c r="C6" s="293">
        <f>'Historical Income Statements'!C4</f>
        <v>34006840000</v>
      </c>
      <c r="D6" s="9">
        <f t="shared" si="1"/>
        <v>3.7623685038370623E-2</v>
      </c>
      <c r="E6" s="10">
        <v>5.8599999999999999E-2</v>
      </c>
      <c r="F6" s="10">
        <v>9.8000000000000004E-2</v>
      </c>
      <c r="G6" s="11">
        <v>5.0779999999999999E-2</v>
      </c>
      <c r="J6" s="12" t="s">
        <v>150</v>
      </c>
      <c r="K6" s="250">
        <v>1200000000</v>
      </c>
      <c r="M6" s="12" t="s">
        <v>150</v>
      </c>
      <c r="N6" s="10">
        <f t="shared" si="0"/>
        <v>3.280324295046691E-2</v>
      </c>
      <c r="O6" s="348">
        <v>-0.31261578567091902</v>
      </c>
      <c r="P6" s="348">
        <v>-0.25</v>
      </c>
      <c r="Q6" s="348">
        <v>-0.1</v>
      </c>
      <c r="R6" s="348">
        <v>-7.0000000000000007E-2</v>
      </c>
      <c r="S6" s="348">
        <v>-0.02</v>
      </c>
    </row>
    <row r="7" spans="1:19" x14ac:dyDescent="0.3">
      <c r="A7" s="500"/>
      <c r="B7" s="8">
        <v>2019</v>
      </c>
      <c r="C7" s="293">
        <f>'Historical Income Statements'!B4</f>
        <v>36581749000</v>
      </c>
      <c r="D7" s="9">
        <f t="shared" si="1"/>
        <v>7.5717385090764089E-2</v>
      </c>
      <c r="E7" s="10">
        <v>9.7999999999999997E-3</v>
      </c>
      <c r="F7" s="10">
        <v>7.2999999999999995E-2</v>
      </c>
      <c r="G7" s="11">
        <v>0.10578</v>
      </c>
      <c r="J7" s="12" t="s">
        <v>151</v>
      </c>
      <c r="K7" s="250">
        <v>4600000000</v>
      </c>
      <c r="M7" s="12" t="s">
        <v>151</v>
      </c>
      <c r="N7" s="10">
        <f t="shared" si="0"/>
        <v>0.12574576464345649</v>
      </c>
      <c r="O7" s="348">
        <v>-0.1</v>
      </c>
      <c r="P7" s="348">
        <v>0.05</v>
      </c>
      <c r="Q7" s="348">
        <v>0.05</v>
      </c>
      <c r="R7" s="348">
        <v>0.02</v>
      </c>
      <c r="S7" s="348">
        <v>0</v>
      </c>
    </row>
    <row r="8" spans="1:19" x14ac:dyDescent="0.3">
      <c r="A8" s="504" t="s">
        <v>152</v>
      </c>
      <c r="B8" s="13">
        <v>2020</v>
      </c>
      <c r="C8" s="291">
        <f>C7*(1+D8)</f>
        <v>35090112000</v>
      </c>
      <c r="D8" s="14">
        <f>SUMPRODUCT(E8:G8,$E$15:$G$15)+O10</f>
        <v>-4.0775442420754676E-2</v>
      </c>
      <c r="E8" s="14">
        <v>-4.0000000000000001E-3</v>
      </c>
      <c r="F8" s="14">
        <f>GEOMEAN(F3:F7)</f>
        <v>7.4260915903384739E-2</v>
      </c>
      <c r="G8" s="14">
        <v>0.1074</v>
      </c>
      <c r="J8" s="12" t="s">
        <v>153</v>
      </c>
      <c r="K8" s="250">
        <v>4950000000</v>
      </c>
      <c r="M8" s="12" t="s">
        <v>153</v>
      </c>
      <c r="N8" s="10">
        <f t="shared" si="0"/>
        <v>0.13531337717067601</v>
      </c>
      <c r="O8" s="348">
        <v>-0.15</v>
      </c>
      <c r="P8" s="348">
        <v>0.1</v>
      </c>
      <c r="Q8" s="348">
        <v>0.15</v>
      </c>
      <c r="R8" s="348">
        <v>0.15</v>
      </c>
      <c r="S8" s="348">
        <v>0.1</v>
      </c>
    </row>
    <row r="9" spans="1:19" x14ac:dyDescent="0.3">
      <c r="A9" s="505"/>
      <c r="B9" s="13">
        <v>2021</v>
      </c>
      <c r="C9" s="291">
        <f t="shared" ref="C9:C12" si="2">C8*(1+D9)</f>
        <v>36443438362.649727</v>
      </c>
      <c r="D9" s="14">
        <f>SUMPRODUCT(E9:G9,$E$15:$G$15)+P10</f>
        <v>3.8567171362967514E-2</v>
      </c>
      <c r="E9" s="14">
        <v>0.01</v>
      </c>
      <c r="F9" s="14">
        <f t="shared" ref="F9:F12" si="3">GEOMEAN(F4:F8)</f>
        <v>7.8714323075635445E-2</v>
      </c>
      <c r="G9" s="14">
        <v>8.8400000000000006E-2</v>
      </c>
      <c r="J9" s="12" t="s">
        <v>154</v>
      </c>
      <c r="K9" s="250">
        <f>'Historical Income Statements'!B4-SUM('Sales Projections'!K3:K8)</f>
        <v>4521749000</v>
      </c>
      <c r="M9" s="12" t="s">
        <v>154</v>
      </c>
      <c r="N9" s="10">
        <f t="shared" si="0"/>
        <v>0.12360669250669234</v>
      </c>
      <c r="O9" s="348">
        <v>-0.2</v>
      </c>
      <c r="P9" s="348">
        <v>-0.15</v>
      </c>
      <c r="Q9" s="348">
        <v>-0.05</v>
      </c>
      <c r="R9" s="348">
        <v>-0.03</v>
      </c>
      <c r="S9" s="348">
        <v>-2.2499999999999999E-2</v>
      </c>
    </row>
    <row r="10" spans="1:19" x14ac:dyDescent="0.3">
      <c r="A10" s="505"/>
      <c r="B10" s="13">
        <v>2022</v>
      </c>
      <c r="C10" s="291">
        <f t="shared" si="2"/>
        <v>39411265360.357063</v>
      </c>
      <c r="D10" s="14">
        <f>SUMPRODUCT(E10:G10,$E$15:$G$15)+Q10</f>
        <v>8.1436525504931773E-2</v>
      </c>
      <c r="E10" s="14">
        <v>4.1000000000000002E-2</v>
      </c>
      <c r="F10" s="14">
        <f t="shared" si="3"/>
        <v>8.0130530630462618E-2</v>
      </c>
      <c r="G10" s="14">
        <v>7.2800000000000004E-2</v>
      </c>
      <c r="J10" s="36" t="s">
        <v>156</v>
      </c>
      <c r="K10" s="251">
        <f>SUM(K3:K9)</f>
        <v>36581749000</v>
      </c>
      <c r="M10" s="510" t="s">
        <v>155</v>
      </c>
      <c r="N10" s="510"/>
      <c r="O10" s="385">
        <f>(O3*$N3)+(O4*$N4)+(O5*$N5)+(O6*$N6)+(O7*$N7)+(O8*$N8)+(O9*$N9)</f>
        <v>-0.114654076463999</v>
      </c>
      <c r="P10" s="385">
        <f>(P3*$N3)+(P4*$N4)+(P5*$N5)+(P6*$N6)+(P7*$N7)+(P8*$N8)+(P9*$N9)</f>
        <v>-3.4382236617500159E-2</v>
      </c>
      <c r="Q10" s="385">
        <f>(Q3*$N3)+(Q4*$N4)+(Q5*$N5)+(Q6*$N6)+(Q7*$N7)+(Q8*$N8)+(Q9*$N9)</f>
        <v>8.1820185798114793E-3</v>
      </c>
      <c r="R10" s="385">
        <f>(R3*$N3)+(R4*$N4)+(R5*$N5)+(R6*$N6)+(R7*$N7)+(R8*$N8)+(R9*$N9)</f>
        <v>1.3207338172923334E-2</v>
      </c>
      <c r="S10" s="385">
        <f>(S3*$N3)+(S4*$N4)+(S5*$N5)+(S6*$N6)+(S7*$N7)+(S8*$N8)+(S9*$N9)</f>
        <v>1.0094122276657687E-2</v>
      </c>
    </row>
    <row r="11" spans="1:19" x14ac:dyDescent="0.3">
      <c r="A11" s="505"/>
      <c r="B11" s="13">
        <v>2023</v>
      </c>
      <c r="C11" s="291">
        <f t="shared" si="2"/>
        <v>42759864863.451393</v>
      </c>
      <c r="D11" s="14">
        <f>SUMPRODUCT(E11:G11,$E$15:$G$15)+R10</f>
        <v>8.496554151399105E-2</v>
      </c>
      <c r="E11" s="14">
        <v>4.4999999999999998E-2</v>
      </c>
      <c r="F11" s="14">
        <f t="shared" si="3"/>
        <v>8.0358570812144689E-2</v>
      </c>
      <c r="G11" s="14">
        <v>6.5199999999999994E-2</v>
      </c>
    </row>
    <row r="12" spans="1:19" x14ac:dyDescent="0.3">
      <c r="A12" s="506"/>
      <c r="B12" s="15">
        <v>2024</v>
      </c>
      <c r="C12" s="292">
        <f t="shared" si="2"/>
        <v>46383404774.860802</v>
      </c>
      <c r="D12" s="16">
        <f>SUMPRODUCT(E12:G12,$E$15:$G$15)+S10</f>
        <v>8.4741612794632493E-2</v>
      </c>
      <c r="E12" s="16">
        <v>0.05</v>
      </c>
      <c r="F12" s="14">
        <f t="shared" si="3"/>
        <v>7.7231315056697614E-2</v>
      </c>
      <c r="G12" s="16">
        <v>0.08</v>
      </c>
      <c r="H12" s="17" t="s">
        <v>157</v>
      </c>
      <c r="Q12" s="350"/>
    </row>
    <row r="13" spans="1:19" x14ac:dyDescent="0.3">
      <c r="A13" s="18"/>
      <c r="B13" s="19" t="s">
        <v>158</v>
      </c>
      <c r="C13" s="20"/>
      <c r="D13" s="21"/>
      <c r="E13" s="21">
        <f>CORREL($D$3:$D$7,E3:E7)</f>
        <v>9.4548540446746085E-2</v>
      </c>
      <c r="F13" s="21">
        <f>CORREL($D$3:$D$7,F3:F7)</f>
        <v>0.45768913360458208</v>
      </c>
      <c r="G13" s="21">
        <f>CORREL($D$3:$D$7,G3:G7)</f>
        <v>0.21444069244337918</v>
      </c>
      <c r="H13" s="22">
        <f>SUM(E13:G13)</f>
        <v>0.76667836649470733</v>
      </c>
    </row>
    <row r="14" spans="1:19" x14ac:dyDescent="0.3">
      <c r="A14" s="23"/>
      <c r="C14" s="24"/>
      <c r="D14" s="25"/>
      <c r="E14" s="25"/>
      <c r="F14" s="25"/>
      <c r="G14" s="25"/>
    </row>
    <row r="15" spans="1:19" x14ac:dyDescent="0.3">
      <c r="B15" s="26" t="s">
        <v>159</v>
      </c>
      <c r="C15" s="27"/>
      <c r="D15" s="28"/>
      <c r="E15" s="17">
        <f>E13/$H$13</f>
        <v>0.12332230121351519</v>
      </c>
      <c r="F15" s="17">
        <f>F13/$H$13</f>
        <v>0.59697671619085868</v>
      </c>
      <c r="G15" s="17">
        <f>G13/$H$13</f>
        <v>0.27970098259562609</v>
      </c>
      <c r="H15" s="29">
        <v>1</v>
      </c>
    </row>
    <row r="16" spans="1:19" ht="16.2" thickBot="1" x14ac:dyDescent="0.35"/>
    <row r="17" spans="1:13" ht="16.2" thickBot="1" x14ac:dyDescent="0.35">
      <c r="B17" s="507" t="s">
        <v>160</v>
      </c>
      <c r="C17" s="508"/>
      <c r="D17" s="509"/>
      <c r="E17" s="405"/>
    </row>
    <row r="19" spans="1:13" x14ac:dyDescent="0.3">
      <c r="B19" s="30"/>
      <c r="C19" s="30"/>
      <c r="D19" s="30"/>
    </row>
    <row r="20" spans="1:13" x14ac:dyDescent="0.3">
      <c r="A20" s="30"/>
    </row>
    <row r="21" spans="1:13" ht="16.2" thickBot="1" x14ac:dyDescent="0.35">
      <c r="J21" s="273"/>
    </row>
    <row r="22" spans="1:13" ht="21" thickBot="1" x14ac:dyDescent="0.35">
      <c r="C22" s="501" t="s">
        <v>161</v>
      </c>
      <c r="D22" s="502"/>
      <c r="E22" s="502"/>
      <c r="F22" s="502"/>
      <c r="G22" s="502"/>
      <c r="H22" s="502"/>
      <c r="I22" s="503"/>
      <c r="J22" s="273"/>
    </row>
    <row r="23" spans="1:13" ht="31.2" x14ac:dyDescent="0.3">
      <c r="C23" s="74" t="s">
        <v>140</v>
      </c>
      <c r="D23" s="74" t="s">
        <v>162</v>
      </c>
      <c r="E23" s="74" t="s">
        <v>163</v>
      </c>
      <c r="F23" s="74" t="s">
        <v>164</v>
      </c>
      <c r="G23" s="74" t="s">
        <v>304</v>
      </c>
      <c r="H23" s="74" t="s">
        <v>165</v>
      </c>
      <c r="I23" s="74" t="s">
        <v>144</v>
      </c>
      <c r="J23" s="273"/>
    </row>
    <row r="24" spans="1:13" x14ac:dyDescent="0.3">
      <c r="A24" s="500" t="s">
        <v>146</v>
      </c>
      <c r="B24" s="8">
        <v>2015</v>
      </c>
      <c r="C24" s="293">
        <f>C3</f>
        <v>23821926000</v>
      </c>
      <c r="D24" s="9">
        <v>9.4999999999999998E-3</v>
      </c>
      <c r="E24" s="295">
        <v>270.55599999999998</v>
      </c>
      <c r="F24" s="294">
        <v>102.76900000000001</v>
      </c>
      <c r="G24" s="9">
        <v>5.8069999999999997E-2</v>
      </c>
      <c r="H24" s="9">
        <v>3.5700000000000003E-2</v>
      </c>
      <c r="I24" s="9">
        <f>G3</f>
        <v>2.53E-2</v>
      </c>
    </row>
    <row r="25" spans="1:13" x14ac:dyDescent="0.3">
      <c r="A25" s="500"/>
      <c r="B25" s="8">
        <v>2016</v>
      </c>
      <c r="C25" s="293">
        <f t="shared" ref="C25:C28" si="4">C4</f>
        <v>27563533000</v>
      </c>
      <c r="D25" s="9">
        <v>9.5999999999999992E-3</v>
      </c>
      <c r="E25" s="295">
        <v>278.65499999999997</v>
      </c>
      <c r="F25" s="294">
        <v>104.76900000000001</v>
      </c>
      <c r="G25" s="9">
        <v>8.3210000000000006E-2</v>
      </c>
      <c r="H25" s="9">
        <v>3.78E-2</v>
      </c>
      <c r="I25" s="9">
        <f t="shared" ref="I25:I28" si="5">G4</f>
        <v>3.7699999999999997E-2</v>
      </c>
    </row>
    <row r="26" spans="1:13" x14ac:dyDescent="0.3">
      <c r="A26" s="500"/>
      <c r="B26" s="8">
        <v>2017</v>
      </c>
      <c r="C26" s="293">
        <f t="shared" si="4"/>
        <v>32773770000</v>
      </c>
      <c r="D26" s="9">
        <v>1.0699999999999999E-2</v>
      </c>
      <c r="E26" s="295">
        <v>304.56700000000001</v>
      </c>
      <c r="F26" s="294">
        <v>105.455</v>
      </c>
      <c r="G26" s="9">
        <v>4.0349999999999997E-2</v>
      </c>
      <c r="H26" s="9">
        <v>3.9399999999999998E-2</v>
      </c>
      <c r="I26" s="9">
        <f t="shared" si="5"/>
        <v>4.0849999999999997E-2</v>
      </c>
    </row>
    <row r="27" spans="1:13" x14ac:dyDescent="0.3">
      <c r="A27" s="500"/>
      <c r="B27" s="8">
        <v>2018</v>
      </c>
      <c r="C27" s="293">
        <f t="shared" si="4"/>
        <v>34006840000</v>
      </c>
      <c r="D27" s="9">
        <v>1.0800000000000001E-2</v>
      </c>
      <c r="E27" s="295">
        <v>314.56799999999998</v>
      </c>
      <c r="F27" s="294">
        <v>121.824</v>
      </c>
      <c r="G27" s="9">
        <v>5.926E-2</v>
      </c>
      <c r="H27" s="9">
        <v>4.0800000000000003E-2</v>
      </c>
      <c r="I27" s="9">
        <f t="shared" si="5"/>
        <v>5.0779999999999999E-2</v>
      </c>
    </row>
    <row r="28" spans="1:13" x14ac:dyDescent="0.3">
      <c r="A28" s="500"/>
      <c r="B28" s="8">
        <v>2019</v>
      </c>
      <c r="C28" s="293">
        <f t="shared" si="4"/>
        <v>36581749000</v>
      </c>
      <c r="D28" s="9">
        <v>1.03E-2</v>
      </c>
      <c r="E28" s="295">
        <v>278.22199999999998</v>
      </c>
      <c r="F28" s="294">
        <v>150.036</v>
      </c>
      <c r="G28" s="9">
        <v>3.3259999999999998E-2</v>
      </c>
      <c r="H28" s="9">
        <v>5.8299999999999998E-2</v>
      </c>
      <c r="I28" s="9">
        <f t="shared" si="5"/>
        <v>0.10578</v>
      </c>
    </row>
    <row r="29" spans="1:13" x14ac:dyDescent="0.3">
      <c r="B29" s="19" t="s">
        <v>166</v>
      </c>
      <c r="C29" s="296">
        <f t="shared" ref="C29:F29" si="6">((C28/C24)^(1/5))-1</f>
        <v>8.9575975823753318E-2</v>
      </c>
      <c r="D29" s="296">
        <f>GEOMEAN(D24:D28)</f>
        <v>1.0165480678662344E-2</v>
      </c>
      <c r="E29" s="296">
        <f t="shared" si="6"/>
        <v>5.6036933347027862E-3</v>
      </c>
      <c r="F29" s="296">
        <f t="shared" si="6"/>
        <v>7.8615530780963283E-2</v>
      </c>
      <c r="G29" s="296">
        <f>GEOMEAN(G24:G28)</f>
        <v>5.2111185811110003E-2</v>
      </c>
      <c r="H29" s="296">
        <f>GEOMEAN(H24:H28)</f>
        <v>4.1725062042968886E-2</v>
      </c>
      <c r="I29" s="296">
        <f>GEOMEAN(I24:I28)</f>
        <v>4.614769762159783E-2</v>
      </c>
    </row>
    <row r="30" spans="1:13" x14ac:dyDescent="0.3">
      <c r="J30" s="17" t="s">
        <v>167</v>
      </c>
      <c r="K30" s="497" t="s">
        <v>168</v>
      </c>
      <c r="L30" s="497"/>
      <c r="M30" s="9">
        <f>SUMPRODUCT(D29:I29,D32:I32)</f>
        <v>3.5304021319084472E-2</v>
      </c>
    </row>
    <row r="31" spans="1:13" ht="16.2" thickBot="1" x14ac:dyDescent="0.35">
      <c r="B31" s="26" t="s">
        <v>158</v>
      </c>
      <c r="C31" s="22"/>
      <c r="D31" s="22">
        <f>CORREL($C$24:$C$28,D24:D28)</f>
        <v>0.82557124515431768</v>
      </c>
      <c r="E31" s="22">
        <f t="shared" ref="E31:I31" si="7">CORREL($C$24:$C$28,E24:E28)</f>
        <v>0.53830812920795357</v>
      </c>
      <c r="F31" s="22">
        <f t="shared" si="7"/>
        <v>0.78088731274836398</v>
      </c>
      <c r="G31" s="22">
        <f t="shared" si="7"/>
        <v>-0.63166815735567827</v>
      </c>
      <c r="H31" s="22">
        <f t="shared" si="7"/>
        <v>0.75915003190881158</v>
      </c>
      <c r="I31" s="22">
        <f t="shared" si="7"/>
        <v>0.79882441804982218</v>
      </c>
      <c r="J31" s="21">
        <f>SUM(D31:I31)</f>
        <v>3.0710729797135907</v>
      </c>
      <c r="K31" s="497" t="s">
        <v>169</v>
      </c>
      <c r="L31" s="497"/>
      <c r="M31" s="297">
        <f>AVERAGE(O10:S10)</f>
        <v>-2.3510566810421334E-2</v>
      </c>
    </row>
    <row r="32" spans="1:13" ht="16.2" thickBot="1" x14ac:dyDescent="0.35">
      <c r="B32" s="26" t="s">
        <v>159</v>
      </c>
      <c r="C32" s="27"/>
      <c r="D32" s="22">
        <f>D31/$J$31</f>
        <v>0.26882176054028867</v>
      </c>
      <c r="E32" s="22">
        <f t="shared" ref="E32:I32" si="8">E31/$J$31</f>
        <v>0.17528340510428259</v>
      </c>
      <c r="F32" s="22">
        <f t="shared" si="8"/>
        <v>0.25427181897227003</v>
      </c>
      <c r="G32" s="22">
        <f t="shared" si="8"/>
        <v>-0.20568321284718796</v>
      </c>
      <c r="H32" s="22">
        <f t="shared" si="8"/>
        <v>0.24719374528820548</v>
      </c>
      <c r="I32" s="22">
        <f t="shared" si="8"/>
        <v>0.26011248294214123</v>
      </c>
      <c r="J32" s="17">
        <f>SUM(D32:I32)</f>
        <v>1</v>
      </c>
      <c r="K32" s="498" t="s">
        <v>170</v>
      </c>
      <c r="L32" s="499"/>
      <c r="M32" s="298">
        <f>M30*(1+M31)</f>
        <v>3.4474003767185596E-2</v>
      </c>
    </row>
    <row r="37" spans="18:22" ht="21.6" customHeight="1" x14ac:dyDescent="0.3"/>
    <row r="38" spans="18:22" ht="21.6" customHeight="1" x14ac:dyDescent="0.3"/>
    <row r="39" spans="18:22" ht="21.6" customHeight="1" x14ac:dyDescent="0.3"/>
    <row r="48" spans="18:22" x14ac:dyDescent="0.3">
      <c r="R48" s="32"/>
      <c r="S48" s="31"/>
      <c r="T48" s="31"/>
      <c r="U48" s="31"/>
      <c r="V48" s="31"/>
    </row>
    <row r="49" spans="19:22" x14ac:dyDescent="0.3">
      <c r="S49" s="32"/>
      <c r="T49" s="32"/>
      <c r="U49" s="32"/>
      <c r="V49" s="32"/>
    </row>
  </sheetData>
  <scenarios current="0" show="0">
    <scenario name="Most Likely" locked="1" count="28" user="Ahmad Ali" comment="Most Likely Senario_x000a__x000a_Modified by Ahmad Ali on 4/7/2021_x000a_Modified by Ahmad Ali on 4/10/2021">
      <inputCells r="O3" val="-0.05" numFmtId="10"/>
      <inputCells r="P3" val="-0.025" numFmtId="10"/>
      <inputCells r="Q3" val="-0.01" numFmtId="10"/>
      <inputCells r="R3" val="0" numFmtId="10"/>
      <inputCells r="O4" val="-0.197325262922031" numFmtId="10"/>
      <inputCells r="P4" val="-0.15" numFmtId="10"/>
      <inputCells r="Q4" val="-0.05" numFmtId="10"/>
      <inputCells r="R4" val="-0.03" numFmtId="10"/>
      <inputCells r="O5" val="-0.05" numFmtId="10"/>
      <inputCells r="P5" val="0.025" numFmtId="10"/>
      <inputCells r="Q5" val="0.03" numFmtId="10"/>
      <inputCells r="R5" val="0" numFmtId="10"/>
      <inputCells r="O6" val="-0.312615785670919" numFmtId="10"/>
      <inputCells r="P6" val="-0.25" numFmtId="10"/>
      <inputCells r="Q6" val="-0.1" numFmtId="10"/>
      <inputCells r="R6" val="-0.07" numFmtId="10"/>
      <inputCells r="O7" val="-0.1" numFmtId="10"/>
      <inputCells r="P7" val="0.05" numFmtId="10"/>
      <inputCells r="Q7" val="0.05" numFmtId="10"/>
      <inputCells r="R7" val="0.02" numFmtId="10"/>
      <inputCells r="O8" val="-0.15" numFmtId="10"/>
      <inputCells r="P8" val="0.1" numFmtId="10"/>
      <inputCells r="Q8" val="0.15" numFmtId="10"/>
      <inputCells r="R8" val="0.15" numFmtId="10"/>
      <inputCells r="O9" val="-0.2" numFmtId="10"/>
      <inputCells r="P9" val="-0.15" numFmtId="10"/>
      <inputCells r="Q9" val="-0.05" numFmtId="10"/>
      <inputCells r="R9" val="-0.03" numFmtId="10"/>
    </scenario>
    <scenario name="Pessimistic" locked="1" count="28" user="Ahmad Ali" comment="Pessimistic_x000a_Modified by Ahmad Ali on 4/7/2021_x000a_Modified by Ahmad Ali on 4/10/2021">
      <inputCells r="O3" val="-0.1" numFmtId="10"/>
      <inputCells r="P3" val="-0.07" numFmtId="10"/>
      <inputCells r="Q3" val="-0.04" numFmtId="10"/>
      <inputCells r="R3" val="-0.01" numFmtId="10"/>
      <inputCells r="O4" val="-0.3" numFmtId="10"/>
      <inputCells r="P4" val="-0.2" numFmtId="10"/>
      <inputCells r="Q4" val="-0.075" numFmtId="10"/>
      <inputCells r="R4" val="-0.035" numFmtId="10"/>
      <inputCells r="O5" val="-0.12" numFmtId="10"/>
      <inputCells r="P5" val="0.01" numFmtId="10"/>
      <inputCells r="Q5" val="0.01" numFmtId="10"/>
      <inputCells r="R5" val="0" numFmtId="10"/>
      <inputCells r="O6" val="-0.55" numFmtId="10"/>
      <inputCells r="P6" val="-0.4" numFmtId="10"/>
      <inputCells r="Q6" val="-0.25" numFmtId="10"/>
      <inputCells r="R6" val="-0.12" numFmtId="10"/>
      <inputCells r="O7" val="-0.15" numFmtId="10"/>
      <inputCells r="P7" val="-0.05" numFmtId="10"/>
      <inputCells r="Q7" val="0.02" numFmtId="10"/>
      <inputCells r="R7" val="0.02" numFmtId="10"/>
      <inputCells r="O8" val="-0.25" numFmtId="10"/>
      <inputCells r="P8" val="0.05" numFmtId="10"/>
      <inputCells r="Q8" val="0.07" numFmtId="10"/>
      <inputCells r="R8" val="0.1" numFmtId="10"/>
      <inputCells r="O9" val="-0.3" numFmtId="10"/>
      <inputCells r="P9" val="-0.2" numFmtId="10"/>
      <inputCells r="Q9" val="-0.1" numFmtId="10"/>
      <inputCells r="R9" val="-0.05" numFmtId="10"/>
    </scenario>
    <scenario name="Optimistic" locked="1" count="28" user="Ahmad Ali" comment="Optimistic Senario_x000a_Modified by Ahmad Ali on 4/10/2021">
      <inputCells r="O3" val="-0.025" numFmtId="10"/>
      <inputCells r="P3" val="-0.01" numFmtId="10"/>
      <inputCells r="Q3" val="0" numFmtId="10"/>
      <inputCells r="R3" val="0.05" numFmtId="10"/>
      <inputCells r="O4" val="-0.1" numFmtId="10"/>
      <inputCells r="P4" val="-0.07" numFmtId="10"/>
      <inputCells r="Q4" val="-0.02" numFmtId="10"/>
      <inputCells r="R4" val="0" numFmtId="10"/>
      <inputCells r="O5" val="-0.02" numFmtId="10"/>
      <inputCells r="P5" val="0.035" numFmtId="10"/>
      <inputCells r="Q5" val="0.05" numFmtId="10"/>
      <inputCells r="R5" val="0.02" numFmtId="10"/>
      <inputCells r="O6" val="-0.25" numFmtId="10"/>
      <inputCells r="P6" val="-0.15" numFmtId="10"/>
      <inputCells r="Q6" val="-0.08" numFmtId="10"/>
      <inputCells r="R6" val="-0.04" numFmtId="10"/>
      <inputCells r="O7" val="-0.05" numFmtId="10"/>
      <inputCells r="P7" val="0.07" numFmtId="10"/>
      <inputCells r="Q7" val="0.1" numFmtId="10"/>
      <inputCells r="R7" val="0.04" numFmtId="10"/>
      <inputCells r="O8" val="-0.1" numFmtId="10"/>
      <inputCells r="P8" val="0.15" numFmtId="10"/>
      <inputCells r="Q8" val="0.2" numFmtId="10"/>
      <inputCells r="R8" val="0.15" numFmtId="10"/>
      <inputCells r="O9" val="-0.12" numFmtId="10"/>
      <inputCells r="P9" val="-0.07" numFmtId="10"/>
      <inputCells r="Q9" val="-0.05" numFmtId="10"/>
      <inputCells r="R9" val="-0.03" numFmtId="10"/>
    </scenario>
  </scenarios>
  <mergeCells count="12">
    <mergeCell ref="J1:K1"/>
    <mergeCell ref="A8:A12"/>
    <mergeCell ref="B17:D17"/>
    <mergeCell ref="N1:S1"/>
    <mergeCell ref="M10:N10"/>
    <mergeCell ref="C1:G1"/>
    <mergeCell ref="A3:A7"/>
    <mergeCell ref="K30:L30"/>
    <mergeCell ref="K31:L31"/>
    <mergeCell ref="K32:L32"/>
    <mergeCell ref="A24:A28"/>
    <mergeCell ref="C22:I22"/>
  </mergeCells>
  <phoneticPr fontId="2" type="noConversion"/>
  <pageMargins left="0.7" right="0.7" top="0.75" bottom="0.75" header="0.3" footer="0.3"/>
  <pageSetup orientation="portrait" horizontalDpi="4294967295" verticalDpi="4294967295"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5" tint="0.79998168889431442"/>
  </sheetPr>
  <dimension ref="A1:P24"/>
  <sheetViews>
    <sheetView zoomScale="124" zoomScaleNormal="93" workbookViewId="0">
      <selection activeCell="B15" sqref="B15"/>
    </sheetView>
  </sheetViews>
  <sheetFormatPr defaultRowHeight="14.4" x14ac:dyDescent="0.3"/>
  <cols>
    <col min="1" max="1" width="42.88671875" bestFit="1" customWidth="1"/>
    <col min="2" max="6" width="15.44140625" bestFit="1" customWidth="1"/>
  </cols>
  <sheetData>
    <row r="1" spans="1:6" ht="15.6" x14ac:dyDescent="0.3">
      <c r="A1" s="473" t="s">
        <v>11</v>
      </c>
      <c r="B1" s="474"/>
      <c r="C1" s="474"/>
      <c r="D1" s="474"/>
      <c r="E1" s="474"/>
      <c r="F1" s="475"/>
    </row>
    <row r="2" spans="1:6" ht="16.2" thickBot="1" x14ac:dyDescent="0.35">
      <c r="A2" s="476" t="s">
        <v>171</v>
      </c>
      <c r="B2" s="477"/>
      <c r="C2" s="477"/>
      <c r="D2" s="477"/>
      <c r="E2" s="477"/>
      <c r="F2" s="478"/>
    </row>
    <row r="3" spans="1:6" x14ac:dyDescent="0.3">
      <c r="A3" s="116"/>
      <c r="B3" s="146">
        <v>2020</v>
      </c>
      <c r="C3" s="146">
        <v>2021</v>
      </c>
      <c r="D3" s="146">
        <v>2022</v>
      </c>
      <c r="E3" s="146">
        <v>2023</v>
      </c>
      <c r="F3" s="146">
        <v>2024</v>
      </c>
    </row>
    <row r="4" spans="1:6" x14ac:dyDescent="0.3">
      <c r="A4" s="61" t="s">
        <v>172</v>
      </c>
      <c r="B4" s="147">
        <f>'Sales Projections'!C8</f>
        <v>35090112000</v>
      </c>
      <c r="C4" s="193">
        <f>'Sales Projections'!C9</f>
        <v>36443438362.649727</v>
      </c>
      <c r="D4" s="148">
        <f>'Sales Projections'!C10</f>
        <v>39411265360.357063</v>
      </c>
      <c r="E4" s="193">
        <f>'Sales Projections'!C11</f>
        <v>42759864863.451393</v>
      </c>
      <c r="F4" s="149">
        <f>'Sales Projections'!C12</f>
        <v>46383404774.860802</v>
      </c>
    </row>
    <row r="5" spans="1:6" x14ac:dyDescent="0.3">
      <c r="A5" s="150" t="s">
        <v>173</v>
      </c>
      <c r="B5" s="151">
        <f>'Sales Projections'!D8</f>
        <v>-4.0775442420754676E-2</v>
      </c>
      <c r="C5" s="208">
        <f>'Sales Projections'!D9</f>
        <v>3.8567171362967514E-2</v>
      </c>
      <c r="D5" s="152">
        <f>'Sales Projections'!D10</f>
        <v>8.1436525504931773E-2</v>
      </c>
      <c r="E5" s="208">
        <f>'Sales Projections'!D11</f>
        <v>8.496554151399105E-2</v>
      </c>
      <c r="F5" s="153">
        <f>'Sales Projections'!D12</f>
        <v>8.4741612794632493E-2</v>
      </c>
    </row>
    <row r="6" spans="1:6" x14ac:dyDescent="0.3">
      <c r="A6" s="61" t="s">
        <v>174</v>
      </c>
      <c r="B6" s="154"/>
      <c r="C6" s="194"/>
      <c r="D6" s="155"/>
      <c r="E6" s="194"/>
      <c r="F6" s="156"/>
    </row>
    <row r="7" spans="1:6" x14ac:dyDescent="0.3">
      <c r="A7" s="150" t="s">
        <v>175</v>
      </c>
      <c r="B7" s="154">
        <f>-'Historical Income Statements'!B35*(1+'Sales Projections'!$G$8*'Historical Income Statements'!$D$38)</f>
        <v>-3226951621.3027573</v>
      </c>
      <c r="C7" s="194">
        <f>B7*(1+'Sales Projections'!G9)</f>
        <v>-3512214144.6259212</v>
      </c>
      <c r="D7" s="155">
        <f>C7*(1+'Sales Projections'!G10)</f>
        <v>-3767903334.3546882</v>
      </c>
      <c r="E7" s="194">
        <f>D7*(1+'Sales Projections'!G11)</f>
        <v>-4013570631.7546134</v>
      </c>
      <c r="F7" s="156">
        <f>E7*(1+'Sales Projections'!G12)</f>
        <v>-4334656282.2949829</v>
      </c>
    </row>
    <row r="8" spans="1:6" x14ac:dyDescent="0.3">
      <c r="A8" s="150" t="s">
        <v>176</v>
      </c>
      <c r="B8" s="154">
        <f>-B4*B9</f>
        <v>-24866957574.400063</v>
      </c>
      <c r="C8" s="194">
        <f>-C4*C9</f>
        <v>-25826005788.447598</v>
      </c>
      <c r="D8" s="155">
        <f>-D4*D9</f>
        <v>-27929185967.529026</v>
      </c>
      <c r="E8" s="194">
        <f>-E4*E9</f>
        <v>-30302204377.305088</v>
      </c>
      <c r="F8" s="156">
        <f>-F4*F9</f>
        <v>-32870062047.470493</v>
      </c>
    </row>
    <row r="9" spans="1:6" x14ac:dyDescent="0.3">
      <c r="A9" s="150" t="s">
        <v>177</v>
      </c>
      <c r="B9" s="151">
        <f>'Historical Income Statements'!$D$36</f>
        <v>0.70865996593000513</v>
      </c>
      <c r="C9" s="208">
        <f>'Historical Income Statements'!$D$36</f>
        <v>0.70865996593000513</v>
      </c>
      <c r="D9" s="152">
        <f>'Historical Income Statements'!$D$36</f>
        <v>0.70865996593000513</v>
      </c>
      <c r="E9" s="208">
        <f>'Historical Income Statements'!$D$36</f>
        <v>0.70865996593000513</v>
      </c>
      <c r="F9" s="153">
        <f>'Historical Income Statements'!$D$36</f>
        <v>0.70865996593000513</v>
      </c>
    </row>
    <row r="10" spans="1:6" x14ac:dyDescent="0.3">
      <c r="A10" s="61" t="s">
        <v>15</v>
      </c>
      <c r="B10" s="147">
        <f>SUM(B4,B7:B8)</f>
        <v>6996202804.2971802</v>
      </c>
      <c r="C10" s="193">
        <f>SUM(C4,C7:C8)</f>
        <v>7105218429.5762062</v>
      </c>
      <c r="D10" s="148">
        <f>SUM(D4,D7:D8)</f>
        <v>7714176058.4733467</v>
      </c>
      <c r="E10" s="193">
        <f>SUM(E4,E7:E8)</f>
        <v>8444089854.3916893</v>
      </c>
      <c r="F10" s="149">
        <f>SUM(F4,F7:F8)</f>
        <v>9178686445.0953255</v>
      </c>
    </row>
    <row r="11" spans="1:6" x14ac:dyDescent="0.3">
      <c r="A11" s="61" t="s">
        <v>178</v>
      </c>
      <c r="B11" s="154"/>
      <c r="C11" s="194"/>
      <c r="D11" s="155"/>
      <c r="E11" s="194"/>
      <c r="F11" s="156"/>
    </row>
    <row r="12" spans="1:6" x14ac:dyDescent="0.3">
      <c r="A12" s="150" t="s">
        <v>175</v>
      </c>
      <c r="B12" s="154">
        <f>-'Historical Income Statements'!B42*(1+'Sales Projections'!G8*'Historical Income Statements'!$D$45)</f>
        <v>-1364619103.9713833</v>
      </c>
      <c r="C12" s="194">
        <f>B12*(1+'Sales Projections'!G9*'Historical Income Statements'!$D$45)</f>
        <v>-1452201848.9215052</v>
      </c>
      <c r="D12" s="155">
        <f>C12*(1+'Sales Projections'!G10*'Historical Income Statements'!$D$45)</f>
        <v>-1528958002.8557487</v>
      </c>
      <c r="E12" s="194">
        <f>D12*(1+'Sales Projections'!G11*'Historical Income Statements'!$D$45)</f>
        <v>-1601334572.0349271</v>
      </c>
      <c r="F12" s="156">
        <f>E12*(1+'Sales Projections'!G12*'Historical Income Statements'!$D$45)</f>
        <v>-1694343985.8846774</v>
      </c>
    </row>
    <row r="13" spans="1:6" x14ac:dyDescent="0.3">
      <c r="A13" s="150" t="s">
        <v>176</v>
      </c>
      <c r="B13" s="154">
        <f>-B4*B14</f>
        <v>-1970861144.9846206</v>
      </c>
      <c r="C13" s="194">
        <f>-C4*C14</f>
        <v>-2046871684.495857</v>
      </c>
      <c r="D13" s="155">
        <f>-D4*D14</f>
        <v>-2213561802.6356268</v>
      </c>
      <c r="E13" s="194">
        <f>-E4*E14</f>
        <v>-2401638279.8712487</v>
      </c>
      <c r="F13" s="156">
        <f>-F4*F14</f>
        <v>-2605156981.0568652</v>
      </c>
    </row>
    <row r="14" spans="1:6" x14ac:dyDescent="0.3">
      <c r="A14" s="150" t="s">
        <v>177</v>
      </c>
      <c r="B14" s="151">
        <f>'Historical Income Statements'!$D$43</f>
        <v>5.6165712579789445E-2</v>
      </c>
      <c r="C14" s="208">
        <f>'Historical Income Statements'!$D$43</f>
        <v>5.6165712579789445E-2</v>
      </c>
      <c r="D14" s="152">
        <f>'Historical Income Statements'!$D$43</f>
        <v>5.6165712579789445E-2</v>
      </c>
      <c r="E14" s="208">
        <f>'Historical Income Statements'!$D$43</f>
        <v>5.6165712579789445E-2</v>
      </c>
      <c r="F14" s="153">
        <f>'Historical Income Statements'!$D$43</f>
        <v>5.6165712579789445E-2</v>
      </c>
    </row>
    <row r="15" spans="1:6" x14ac:dyDescent="0.3">
      <c r="A15" s="61" t="s">
        <v>17</v>
      </c>
      <c r="B15" s="154">
        <f>'Historical Income Statements'!B8*(1+'Sales Projections'!$G$8*'Historical Income Statements'!$C$49)</f>
        <v>-1168008262.3382814</v>
      </c>
      <c r="C15" s="194">
        <f>B15*(1+'Sales Projections'!$G$9*'Historical Income Statements'!$C$49)</f>
        <v>-1228425149.6842911</v>
      </c>
      <c r="D15" s="155">
        <f>C15*(1+'Sales Projections'!$G$10*'Historical Income Statements'!$C$49)</f>
        <v>-1280753885.7972798</v>
      </c>
      <c r="E15" s="194">
        <f>D15*(1+'Sales Projections'!$G$11*'Historical Income Statements'!$C$49)</f>
        <v>-1329616133.9306383</v>
      </c>
      <c r="F15" s="156">
        <f>E15*(1+'Sales Projections'!$G$12*'Historical Income Statements'!$C$49)</f>
        <v>-1391857115.0905271</v>
      </c>
    </row>
    <row r="16" spans="1:6" x14ac:dyDescent="0.3">
      <c r="A16" s="61" t="s">
        <v>18</v>
      </c>
      <c r="B16" s="154">
        <f>'Historical Income Statements'!B9*(1+'Sales Projections'!$G$8*'Historical Income Statements'!$C$53)</f>
        <v>-418296108.95407152</v>
      </c>
      <c r="C16" s="194">
        <f>B16*(1+'Sales Projections'!$G$9*'Historical Income Statements'!$C$53)</f>
        <v>-439933069.67330402</v>
      </c>
      <c r="D16" s="155">
        <f>C16*(1+'Sales Projections'!$G$10*'Historical Income Statements'!$C$53)</f>
        <v>-458673439.4192571</v>
      </c>
      <c r="E16" s="194">
        <f>D16*(1+'Sales Projections'!$G$11*'Historical Income Statements'!$C$53)</f>
        <v>-476172363.80872571</v>
      </c>
      <c r="F16" s="156">
        <f>E16*(1+'Sales Projections'!$G$12*'Historical Income Statements'!$C$53)</f>
        <v>-498462583.04445642</v>
      </c>
    </row>
    <row r="17" spans="1:16" x14ac:dyDescent="0.3">
      <c r="A17" s="61" t="s">
        <v>19</v>
      </c>
      <c r="B17" s="154">
        <f>'Historical Income Statements'!$B$10*(1+('Sales Projections'!$E$13*'Sales Projections'!$G$13))</f>
        <v>2031839000.550647</v>
      </c>
      <c r="C17" s="194">
        <f>B17*(1+'Sales Projections'!$E$13*'Sales Projections'!$G$13)</f>
        <v>2073034646.9873149</v>
      </c>
      <c r="D17" s="155">
        <f>C17*(1+'Sales Projections'!$E$13*'Sales Projections'!$G$13)</f>
        <v>2115065537.3999453</v>
      </c>
      <c r="E17" s="194">
        <f>D17*(1+'Sales Projections'!$E$13*'Sales Projections'!$G$13)</f>
        <v>2157948606.4056568</v>
      </c>
      <c r="F17" s="156">
        <f>E17*(1+'Sales Projections'!$E$13*'Sales Projections'!$G$13)</f>
        <v>2201701131.9718537</v>
      </c>
      <c r="G17" s="273"/>
      <c r="H17" s="273"/>
      <c r="I17" s="273"/>
      <c r="J17" s="273"/>
      <c r="K17" s="273"/>
      <c r="L17" s="273"/>
      <c r="M17" s="273"/>
      <c r="N17" s="273"/>
      <c r="O17" s="273"/>
      <c r="P17" s="273"/>
    </row>
    <row r="18" spans="1:16" x14ac:dyDescent="0.3">
      <c r="A18" s="61" t="s">
        <v>20</v>
      </c>
      <c r="B18" s="147">
        <f>SUM(B10,B12:B13,B15:B16:B17)</f>
        <v>4106257184.5994711</v>
      </c>
      <c r="C18" s="193">
        <f>SUM(C10,C12:C13,C15:C17)</f>
        <v>4010821323.7885637</v>
      </c>
      <c r="D18" s="148">
        <f>SUM(D10,D12:D13,D15:D17)</f>
        <v>4347294465.1653786</v>
      </c>
      <c r="E18" s="193">
        <f>SUM(E10,E12:E13,E15:E17)</f>
        <v>4793277111.1518059</v>
      </c>
      <c r="F18" s="149">
        <f>SUM(F10,F12:F13,F15:F17)</f>
        <v>5190566911.9906521</v>
      </c>
      <c r="G18" s="273"/>
      <c r="H18" s="273"/>
      <c r="I18" s="273"/>
      <c r="J18" s="273"/>
      <c r="K18" s="273"/>
      <c r="L18" s="273"/>
      <c r="M18" s="273"/>
      <c r="N18" s="273"/>
      <c r="O18" s="273"/>
      <c r="P18" s="273"/>
    </row>
    <row r="19" spans="1:16" x14ac:dyDescent="0.3">
      <c r="A19" s="61" t="s">
        <v>179</v>
      </c>
      <c r="B19" s="154" cm="1">
        <f t="array" ref="B19">'Pro Forma Income Statement'!B18*(AVERAGE('Historical Income Statements'!$B$12:$F$12/'Historical Income Statements'!$B$11:$F$11))</f>
        <v>-104198234.8747077</v>
      </c>
      <c r="C19" s="194" cm="1">
        <f t="array" ref="C19">'Pro Forma Income Statement'!C18*(AVERAGE('Historical Income Statements'!$B$12:$F$12/'Historical Income Statements'!$B$11:$F$11))</f>
        <v>-101776504.38068487</v>
      </c>
      <c r="D19" s="155" cm="1">
        <f t="array" ref="D19">'Pro Forma Income Statement'!D18*(AVERAGE('Historical Income Statements'!$B$12:$F$12/'Historical Income Statements'!$B$11:$F$11))</f>
        <v>-110314670.85152951</v>
      </c>
      <c r="E19" s="194" cm="1">
        <f t="array" ref="E19">'Pro Forma Income Statement'!E18*(AVERAGE('Historical Income Statements'!$B$12:$F$12/'Historical Income Statements'!$B$11:$F$11))</f>
        <v>-121631693.24136555</v>
      </c>
      <c r="F19" s="156" cm="1">
        <f t="array" ref="F19">'Pro Forma Income Statement'!F18*(AVERAGE('Historical Income Statements'!$B$12:$F$12/'Historical Income Statements'!$B$11:$F$11))</f>
        <v>-131713111.45754333</v>
      </c>
      <c r="G19" s="1"/>
      <c r="H19" s="273"/>
      <c r="I19" s="273"/>
      <c r="J19" s="273"/>
      <c r="K19" s="273"/>
      <c r="L19" s="273"/>
      <c r="M19" s="273"/>
      <c r="N19" s="273"/>
      <c r="O19" s="273"/>
      <c r="P19" s="273"/>
    </row>
    <row r="20" spans="1:16" x14ac:dyDescent="0.3">
      <c r="A20" s="61" t="s">
        <v>22</v>
      </c>
      <c r="B20" s="147">
        <f>SUM(B18:B19)</f>
        <v>4002058949.7247634</v>
      </c>
      <c r="C20" s="193">
        <f>SUM(C18:C19)</f>
        <v>3909044819.4078789</v>
      </c>
      <c r="D20" s="148">
        <f>SUM(D18:D19)</f>
        <v>4236979794.313849</v>
      </c>
      <c r="E20" s="193">
        <f>SUM(E18:E19)</f>
        <v>4671645417.9104404</v>
      </c>
      <c r="F20" s="149">
        <f>SUM(F18:F19)</f>
        <v>5058853800.5331087</v>
      </c>
      <c r="G20" s="273"/>
      <c r="H20" s="273"/>
      <c r="I20" s="273"/>
      <c r="J20" s="273"/>
      <c r="K20" s="273"/>
      <c r="L20" s="273"/>
      <c r="M20" s="273"/>
      <c r="N20" s="273"/>
      <c r="O20" s="273"/>
      <c r="P20" s="273"/>
    </row>
    <row r="21" spans="1:16" x14ac:dyDescent="0.3">
      <c r="A21" s="61" t="s">
        <v>23</v>
      </c>
      <c r="B21" s="154">
        <f>-B20*'Historical Income Statements'!$B$28</f>
        <v>-1160597095.4201813</v>
      </c>
      <c r="C21" s="194">
        <f>-C20*'Historical Income Statements'!$B$28</f>
        <v>-1133622997.6282847</v>
      </c>
      <c r="D21" s="155">
        <f>-D20*'Historical Income Statements'!$B$28</f>
        <v>-1228724140.351016</v>
      </c>
      <c r="E21" s="194">
        <f>-E20*'Historical Income Statements'!$B$28</f>
        <v>-1354777171.1940277</v>
      </c>
      <c r="F21" s="156">
        <f>-F20*'Historical Income Statements'!$B$28</f>
        <v>-1467067602.1546013</v>
      </c>
      <c r="G21" s="273"/>
      <c r="H21" s="273"/>
      <c r="I21" s="273"/>
      <c r="J21" s="273"/>
      <c r="K21" s="273"/>
      <c r="L21" s="273"/>
      <c r="M21" s="273"/>
      <c r="N21" s="273"/>
      <c r="O21" s="273"/>
      <c r="P21" s="273"/>
    </row>
    <row r="22" spans="1:16" x14ac:dyDescent="0.3">
      <c r="A22" s="118" t="s">
        <v>24</v>
      </c>
      <c r="B22" s="157">
        <f>SUM(B20:B21)</f>
        <v>2841461854.3045821</v>
      </c>
      <c r="C22" s="209">
        <f t="shared" ref="C22:F22" si="0">SUM(C20:C21)</f>
        <v>2775421821.7795944</v>
      </c>
      <c r="D22" s="158">
        <f t="shared" si="0"/>
        <v>3008255653.9628329</v>
      </c>
      <c r="E22" s="209">
        <f t="shared" si="0"/>
        <v>3316868246.7164125</v>
      </c>
      <c r="F22" s="159">
        <f t="shared" si="0"/>
        <v>3591786198.3785076</v>
      </c>
      <c r="G22" s="273"/>
      <c r="H22" s="273"/>
      <c r="I22" s="273"/>
      <c r="J22" s="273"/>
      <c r="K22" s="273"/>
      <c r="L22" s="273"/>
      <c r="M22" s="273"/>
      <c r="N22" s="273"/>
      <c r="O22" s="273"/>
      <c r="P22" s="273"/>
    </row>
    <row r="24" spans="1:16" x14ac:dyDescent="0.3">
      <c r="A24" s="273"/>
      <c r="B24" s="273"/>
      <c r="C24" s="273"/>
      <c r="D24" s="273"/>
      <c r="E24" s="273"/>
      <c r="F24" s="273"/>
      <c r="G24" s="273"/>
      <c r="H24" s="273"/>
      <c r="I24" s="273"/>
      <c r="J24" s="273"/>
      <c r="K24" s="273"/>
      <c r="L24" s="273"/>
      <c r="M24" s="273"/>
      <c r="N24" s="273"/>
      <c r="O24" s="273"/>
      <c r="P24" s="2"/>
    </row>
  </sheetData>
  <mergeCells count="2">
    <mergeCell ref="A2:F2"/>
    <mergeCell ref="A1:F1"/>
  </mergeCells>
  <pageMargins left="0.7" right="0.7" top="0.75" bottom="0.75" header="0.3" footer="0.3"/>
  <pageSetup orientation="portrait" horizontalDpi="4294967295" verticalDpi="4294967295"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theme="5" tint="0.79998168889431442"/>
  </sheetPr>
  <dimension ref="A1:H55"/>
  <sheetViews>
    <sheetView topLeftCell="A2" zoomScale="103" zoomScaleNormal="103" workbookViewId="0">
      <selection activeCell="H4" sqref="H4"/>
    </sheetView>
  </sheetViews>
  <sheetFormatPr defaultColWidth="8.88671875" defaultRowHeight="13.8" x14ac:dyDescent="0.25"/>
  <cols>
    <col min="1" max="1" width="36.44140625" style="3" bestFit="1" customWidth="1"/>
    <col min="2" max="2" width="20.6640625" style="3" bestFit="1" customWidth="1"/>
    <col min="3" max="6" width="20.33203125" style="3" bestFit="1" customWidth="1"/>
    <col min="7" max="7" width="8.88671875" style="3"/>
    <col min="8" max="8" width="14.5546875" style="3" bestFit="1" customWidth="1"/>
    <col min="9" max="16384" width="8.88671875" style="3"/>
  </cols>
  <sheetData>
    <row r="1" spans="1:8" ht="15.6" x14ac:dyDescent="0.3">
      <c r="A1" s="473" t="s">
        <v>11</v>
      </c>
      <c r="B1" s="474"/>
      <c r="C1" s="474"/>
      <c r="D1" s="474"/>
      <c r="E1" s="474"/>
      <c r="F1" s="475"/>
    </row>
    <row r="2" spans="1:8" ht="16.2" thickBot="1" x14ac:dyDescent="0.35">
      <c r="A2" s="476" t="s">
        <v>180</v>
      </c>
      <c r="B2" s="477"/>
      <c r="C2" s="477"/>
      <c r="D2" s="477"/>
      <c r="E2" s="477"/>
      <c r="F2" s="478"/>
    </row>
    <row r="3" spans="1:8" x14ac:dyDescent="0.25">
      <c r="A3" s="116"/>
      <c r="B3" s="117">
        <v>2020</v>
      </c>
      <c r="C3" s="117">
        <v>2021</v>
      </c>
      <c r="D3" s="117">
        <v>2022</v>
      </c>
      <c r="E3" s="117">
        <v>2023</v>
      </c>
      <c r="F3" s="117">
        <v>2024</v>
      </c>
    </row>
    <row r="4" spans="1:8" x14ac:dyDescent="0.25">
      <c r="A4" s="118" t="s">
        <v>50</v>
      </c>
      <c r="B4" s="119"/>
      <c r="C4" s="201"/>
      <c r="D4" s="120"/>
      <c r="E4" s="201"/>
      <c r="F4" s="121"/>
    </row>
    <row r="5" spans="1:8" ht="14.4" x14ac:dyDescent="0.3">
      <c r="A5" s="122" t="s">
        <v>51</v>
      </c>
      <c r="B5" s="123"/>
      <c r="C5" s="202"/>
      <c r="D5" s="124"/>
      <c r="E5" s="202"/>
      <c r="F5" s="125"/>
    </row>
    <row r="6" spans="1:8" x14ac:dyDescent="0.25">
      <c r="A6" s="61" t="s">
        <v>52</v>
      </c>
      <c r="B6" s="123" cm="1">
        <f t="array" ref="B6">'Pro Forma Income Statement'!B4*(AVERAGE('Historical Balance Sheets'!$B$6:$F$6/'Historical Income Statements'!$B$4:$F$4))</f>
        <v>9783862648.7081051</v>
      </c>
      <c r="C6" s="202" cm="1">
        <f t="array" ref="C6">'Pro Forma Income Statement'!C4*(AVERAGE('Historical Balance Sheets'!$B$6:$F$6/'Historical Income Statements'!$B$4:$F$4))</f>
        <v>10161198556.072569</v>
      </c>
      <c r="D6" s="124" cm="1">
        <f t="array" ref="D6">'Pro Forma Income Statement'!D4*(AVERAGE('Historical Balance Sheets'!$B$6:$F$6/'Historical Income Statements'!$B$4:$F$4))</f>
        <v>10988691261.444849</v>
      </c>
      <c r="E6" s="202" cm="1">
        <f t="array" ref="E6">'Pro Forma Income Statement'!E4*(AVERAGE('Historical Balance Sheets'!$B$6:$F$6/'Historical Income Statements'!$B$4:$F$4))</f>
        <v>11922351365.003571</v>
      </c>
      <c r="F6" s="125" cm="1">
        <f t="array" ref="F6">'Pro Forma Income Statement'!F4*(AVERAGE('Historical Balance Sheets'!$B$6:$F$6/'Historical Income Statements'!$B$4:$F$4))</f>
        <v>12932670647.978262</v>
      </c>
    </row>
    <row r="7" spans="1:8" x14ac:dyDescent="0.25">
      <c r="A7" s="61" t="s">
        <v>53</v>
      </c>
      <c r="B7" s="123" cm="1">
        <f t="array" ref="B7">'Pro Forma Income Statement'!B4*(AVERAGE('Historical Balance Sheets'!$B$7:$F$7/'Historical Income Statements'!$B$4:$F$4))</f>
        <v>1216338157.8659928</v>
      </c>
      <c r="C7" s="202" cm="1">
        <f t="array" ref="C7">'Pro Forma Income Statement'!C4*(AVERAGE('Historical Balance Sheets'!$B$7:$F$7/'Historical Income Statements'!$B$4:$F$4))</f>
        <v>1263248880.0357268</v>
      </c>
      <c r="D7" s="124" cm="1">
        <f t="array" ref="D7">'Pro Forma Income Statement'!D4*(AVERAGE('Historical Balance Sheets'!$B$7:$F$7/'Historical Income Statements'!$B$4:$F$4))</f>
        <v>1366123479.6738329</v>
      </c>
      <c r="E7" s="202" cm="1">
        <f t="array" ref="E7">'Pro Forma Income Statement'!E4*(AVERAGE('Historical Balance Sheets'!$B$7:$F$7/'Historical Income Statements'!$B$4:$F$4))</f>
        <v>1482196900.8992977</v>
      </c>
      <c r="F7" s="125" cm="1">
        <f t="array" ref="F7">'Pro Forma Income Statement'!F4*(AVERAGE('Historical Balance Sheets'!$B$7:$F$7/'Historical Income Statements'!$B$4:$F$4))</f>
        <v>1607800656.7607102</v>
      </c>
    </row>
    <row r="8" spans="1:8" x14ac:dyDescent="0.25">
      <c r="A8" s="61" t="s">
        <v>54</v>
      </c>
      <c r="B8" s="123" cm="1">
        <f t="array" ref="B8">'Pro Forma Income Statement'!B4*(AVERAGE('Historical Balance Sheets'!$B$8:$F$8/'Historical Income Statements'!$B$4:$F$4))</f>
        <v>83119349.32962364</v>
      </c>
      <c r="C8" s="202" cm="1">
        <f t="array" ref="C8">'Pro Forma Income Statement'!C4*(AVERAGE('Historical Balance Sheets'!$B$8:$F$8/'Historical Income Statements'!$B$4:$F$4))</f>
        <v>86325027.518797606</v>
      </c>
      <c r="D8" s="124" cm="1">
        <f t="array" ref="D8">'Pro Forma Income Statement'!D4*(AVERAGE('Historical Balance Sheets'!$B$8:$F$8/'Historical Income Statements'!$B$4:$F$4))</f>
        <v>93355037.82404612</v>
      </c>
      <c r="E8" s="202" cm="1">
        <f t="array" ref="E8">'Pro Forma Income Statement'!E4*(AVERAGE('Historical Balance Sheets'!$B$8:$F$8/'Historical Income Statements'!$B$4:$F$4))</f>
        <v>101286999.16582529</v>
      </c>
      <c r="F8" s="125" cm="1">
        <f t="array" ref="F8">'Pro Forma Income Statement'!F4*(AVERAGE('Historical Balance Sheets'!$B$8:$F$8/'Historical Income Statements'!$B$4:$F$4))</f>
        <v>109870222.83026592</v>
      </c>
      <c r="H8" s="145"/>
    </row>
    <row r="9" spans="1:8" x14ac:dyDescent="0.25">
      <c r="A9" s="61" t="s">
        <v>55</v>
      </c>
      <c r="B9" s="123" cm="1">
        <f t="array" ref="B9">'Pro Forma Income Statement'!B4*(AVERAGE('Historical Balance Sheets'!$B$9:$F$9/'Historical Income Statements'!$B$4:$F$4))</f>
        <v>24803539.165959727</v>
      </c>
      <c r="C9" s="202" cm="1">
        <f t="array" ref="C9">'Pro Forma Income Statement'!C4*(AVERAGE('Historical Balance Sheets'!$B$9:$F$9/'Historical Income Statements'!$B$4:$F$4))</f>
        <v>25760141.511381377</v>
      </c>
      <c r="D9" s="124" cm="1">
        <f t="array" ref="D9">'Pro Forma Income Statement'!D4*(AVERAGE('Historical Balance Sheets'!$B$9:$F$9/'Historical Income Statements'!$B$4:$F$4))</f>
        <v>27857957.932583641</v>
      </c>
      <c r="E9" s="202" cm="1">
        <f t="array" ref="E9">'Pro Forma Income Statement'!E4*(AVERAGE('Historical Balance Sheets'!$B$9:$F$9/'Historical Income Statements'!$B$4:$F$4))</f>
        <v>30224924.413799588</v>
      </c>
      <c r="F9" s="125" cm="1">
        <f t="array" ref="F9">'Pro Forma Income Statement'!F4*(AVERAGE('Historical Balance Sheets'!$B$9:$F$9/'Historical Income Statements'!$B$4:$F$4))</f>
        <v>32786233.255220827</v>
      </c>
    </row>
    <row r="10" spans="1:8" x14ac:dyDescent="0.25">
      <c r="A10" s="118" t="s">
        <v>181</v>
      </c>
      <c r="B10" s="160">
        <f>SUM(B6:B9)</f>
        <v>11108123695.069683</v>
      </c>
      <c r="C10" s="203">
        <f t="shared" ref="C10:F10" si="0">SUM(C6:C9)</f>
        <v>11536532605.138474</v>
      </c>
      <c r="D10" s="161">
        <f t="shared" si="0"/>
        <v>12476027736.875311</v>
      </c>
      <c r="E10" s="203">
        <f t="shared" si="0"/>
        <v>13536060189.482492</v>
      </c>
      <c r="F10" s="162">
        <f t="shared" si="0"/>
        <v>14683127760.824457</v>
      </c>
    </row>
    <row r="11" spans="1:8" x14ac:dyDescent="0.25">
      <c r="A11" s="61"/>
      <c r="B11" s="123"/>
      <c r="C11" s="202"/>
      <c r="D11" s="124"/>
      <c r="E11" s="202"/>
      <c r="F11" s="125"/>
    </row>
    <row r="12" spans="1:8" ht="14.4" x14ac:dyDescent="0.3">
      <c r="A12" s="122" t="s">
        <v>56</v>
      </c>
      <c r="B12" s="123"/>
      <c r="C12" s="202"/>
      <c r="D12" s="124"/>
      <c r="E12" s="202"/>
      <c r="F12" s="125"/>
      <c r="H12" s="145"/>
    </row>
    <row r="13" spans="1:8" x14ac:dyDescent="0.25">
      <c r="A13" s="61" t="s">
        <v>57</v>
      </c>
      <c r="B13" s="123" cm="1">
        <f t="array" ref="B13">'Pro Forma Income Statement'!B$4*(AVERAGE('Historical Balance Sheets'!$B$13:$F$13/'Historical Income Statements'!$B$4:$F$4))</f>
        <v>240298984.23881364</v>
      </c>
      <c r="C13" s="202" cm="1">
        <f t="array" ref="C13">'Pro Forma Income Statement'!C$4*(AVERAGE('Historical Balance Sheets'!$B$13:$F$13/'Historical Income Statements'!$B$4:$F$4))</f>
        <v>249566636.34229901</v>
      </c>
      <c r="D13" s="124" cm="1">
        <f t="array" ref="D13">'Pro Forma Income Statement'!D$4*(AVERAGE('Historical Balance Sheets'!$B$13:$F$13/'Historical Income Statements'!$B$4:$F$4))</f>
        <v>269890476.08796871</v>
      </c>
      <c r="E13" s="202" cm="1">
        <f t="array" ref="E13">'Pro Forma Income Statement'!E$4*(AVERAGE('Historical Balance Sheets'!$B$13:$F$13/'Historical Income Statements'!$B$4:$F$4))</f>
        <v>292821866.53825176</v>
      </c>
      <c r="F13" s="125" cm="1">
        <f t="array" ref="F13">'Pro Forma Income Statement'!F$4*(AVERAGE('Historical Balance Sheets'!$B$13:$F$13/'Historical Income Statements'!$B$4:$F$4))</f>
        <v>317636063.77023786</v>
      </c>
    </row>
    <row r="14" spans="1:8" x14ac:dyDescent="0.25">
      <c r="A14" s="61" t="s">
        <v>58</v>
      </c>
      <c r="B14" s="123" cm="1">
        <f t="array" ref="B14">'Pro Forma Income Statement'!B4*(AVERAGE('Historical Balance Sheets'!$B$14:$F$14/'Historical Income Statements'!$B$4:$F$4))</f>
        <v>6493224762.3164968</v>
      </c>
      <c r="C14" s="202" cm="1">
        <f t="array" ref="C14">'Pro Forma Income Statement'!C4*(AVERAGE('Historical Balance Sheets'!$B$14:$F$14/'Historical Income Statements'!$B$4:$F$4))</f>
        <v>6743650074.4230213</v>
      </c>
      <c r="D14" s="124" cm="1">
        <f t="array" ref="D14">'Pro Forma Income Statement'!D4*(AVERAGE('Historical Balance Sheets'!$B$14:$F$14/'Historical Income Statements'!$B$4:$F$4))</f>
        <v>7292829505.7051077</v>
      </c>
      <c r="E14" s="202" cm="1">
        <f t="array" ref="E14">'Pro Forma Income Statement'!E4*(AVERAGE('Historical Balance Sheets'!$B$14:$F$14/'Historical Income Statements'!$B$4:$F$4))</f>
        <v>7912468713.8265524</v>
      </c>
      <c r="F14" s="125" cm="1">
        <f t="array" ref="F14">'Pro Forma Income Statement'!F4*(AVERAGE('Historical Balance Sheets'!$B$14:$F$14/'Historical Income Statements'!$B$4:$F$4))</f>
        <v>8582984073.8232861</v>
      </c>
    </row>
    <row r="15" spans="1:8" x14ac:dyDescent="0.25">
      <c r="A15" s="61" t="s">
        <v>59</v>
      </c>
      <c r="B15" s="123" cm="1">
        <f t="array" ref="B15">'Pro Forma Income Statement'!B4*(AVERAGE('Historical Balance Sheets'!$B$15:$F$15/'Historical Income Statements'!$B$4:$F$4))</f>
        <v>192837443.75892395</v>
      </c>
      <c r="C15" s="202" cm="1">
        <f t="array" ref="C15">'Pro Forma Income Statement'!C4*(AVERAGE('Historical Balance Sheets'!$B$15:$F$15/'Historical Income Statements'!$B$4:$F$4))</f>
        <v>200274638.49757102</v>
      </c>
      <c r="D15" s="124" cm="1">
        <f t="array" ref="D15">'Pro Forma Income Statement'!D4*(AVERAGE('Historical Balance Sheets'!$B$15:$F$15/'Historical Income Statements'!$B$4:$F$4))</f>
        <v>216584309.20356947</v>
      </c>
      <c r="E15" s="202" cm="1">
        <f t="array" ref="E15">'Pro Forma Income Statement'!E4*(AVERAGE('Historical Balance Sheets'!$B$15:$F$15/'Historical Income Statements'!$B$4:$F$4))</f>
        <v>234986512.3184844</v>
      </c>
      <c r="F15" s="125" cm="1">
        <f t="array" ref="F15">'Pro Forma Income Statement'!F4*(AVERAGE('Historical Balance Sheets'!$B$15:$F$15/'Historical Income Statements'!$B$4:$F$4))</f>
        <v>254899648.35733852</v>
      </c>
    </row>
    <row r="16" spans="1:8" x14ac:dyDescent="0.25">
      <c r="A16" s="61" t="s">
        <v>60</v>
      </c>
      <c r="B16" s="123" cm="1">
        <f t="array" ref="B16">'Pro Forma Income Statement'!B4*(AVERAGE('Historical Balance Sheets'!$B$16:$F$16/'Historical Income Statements'!$B$4:$F$4))</f>
        <v>1283189884.3780751</v>
      </c>
      <c r="C16" s="202">
        <f>AVERAGE('Historical Balance Sheets'!C16:G16)</f>
        <v>1204241000</v>
      </c>
      <c r="D16" s="124">
        <f>AVERAGE('Historical Balance Sheets'!D16:H16)</f>
        <v>1074021333.3333333</v>
      </c>
      <c r="E16" s="202">
        <f>AVERAGE('Historical Balance Sheets'!E16:I16)</f>
        <v>429680500</v>
      </c>
      <c r="F16" s="125">
        <f>AVERAGE('Historical Balance Sheets'!F16:J16)</f>
        <v>328948000</v>
      </c>
    </row>
    <row r="17" spans="1:6" x14ac:dyDescent="0.25">
      <c r="A17" s="61" t="s">
        <v>61</v>
      </c>
      <c r="B17" s="123" cm="1">
        <f t="array" ref="B17">'Pro Forma Income Statement'!B4*(AVERAGE('Historical Balance Sheets'!$B$17:$F$17/'Historical Income Statements'!$B$4:$F$4))</f>
        <v>353942181.20926505</v>
      </c>
      <c r="C17" s="202" cm="1">
        <f t="array" ref="C17">'Pro Forma Income Statement'!C4*(AVERAGE('Historical Balance Sheets'!$B$17:$F$17/'Historical Income Statements'!$B$4:$F$4))</f>
        <v>367592729.96454531</v>
      </c>
      <c r="D17" s="124" cm="1">
        <f t="array" ref="D17">'Pro Forma Income Statement'!D4*(AVERAGE('Historical Balance Sheets'!$B$17:$F$17/'Historical Income Statements'!$B$4:$F$4))</f>
        <v>397528204.69373053</v>
      </c>
      <c r="E17" s="202" cm="1">
        <f t="array" ref="E17">'Pro Forma Income Statement'!E4*(AVERAGE('Historical Balance Sheets'!$B$17:$F$17/'Historical Income Statements'!$B$4:$F$4))</f>
        <v>431304403.87261802</v>
      </c>
      <c r="F17" s="125" cm="1">
        <f t="array" ref="F17">'Pro Forma Income Statement'!F4*(AVERAGE('Historical Balance Sheets'!$B$17:$F$17/'Historical Income Statements'!$B$4:$F$4))</f>
        <v>467853834.66221118</v>
      </c>
    </row>
    <row r="18" spans="1:6" x14ac:dyDescent="0.25">
      <c r="A18" s="61" t="s">
        <v>62</v>
      </c>
      <c r="B18" s="123" cm="1">
        <f t="array" ref="B18">'Pro Forma Income Statement'!B4*(AVERAGE('Historical Balance Sheets'!$B$18:$F$18/'Historical Income Statements'!$B$4:$F$4))</f>
        <v>7543493.8288461007</v>
      </c>
      <c r="C18" s="204">
        <f>AVERAGE('Historical Balance Sheets'!B18:E18,'Pro Forma Balance Sheet'!B18)</f>
        <v>5138698.76576922</v>
      </c>
      <c r="D18" s="124">
        <f>AVERAGE('Historical Balance Sheets'!B18:D18,'Pro Forma Balance Sheet'!B18:C18)</f>
        <v>3751638.5189230642</v>
      </c>
      <c r="E18" s="204">
        <f>AVERAGE('Historical Balance Sheets'!B18:C18,'Pro Forma Balance Sheet'!B18:D18)</f>
        <v>3865566.2227076767</v>
      </c>
      <c r="F18" s="125">
        <f>AVERAGE('Historical Balance Sheets'!B18,'Pro Forma Balance Sheet'!B18:E18)</f>
        <v>4374479.4672492128</v>
      </c>
    </row>
    <row r="19" spans="1:6" x14ac:dyDescent="0.25">
      <c r="A19" s="61" t="s">
        <v>63</v>
      </c>
      <c r="B19" s="123" cm="1">
        <f t="array" ref="B19">'Pro Forma Income Statement'!B4*AVERAGE(('Historical Balance Sheets'!$B$19:$C$20/'Historical Income Statements'!$B$4:$C$4)+('Historical Balance Sheets'!$E$19:$F$19/'Historical Income Statements'!$E$4:$F$4))</f>
        <v>620930633.51091325</v>
      </c>
      <c r="C19" s="202" cm="1">
        <f t="array" ref="C19">'Pro Forma Income Statement'!C4*AVERAGE(('Historical Balance Sheets'!$B$19:$C$20/'Historical Income Statements'!$B$4:$C$4)+('Historical Balance Sheets'!$E$19:$F$19/'Historical Income Statements'!$E$4:$F$4))</f>
        <v>644878171.6580447</v>
      </c>
      <c r="D19" s="124" cm="1">
        <f t="array" ref="D19">'Pro Forma Income Statement'!D4*AVERAGE(('Historical Balance Sheets'!$B$19:$C$20/'Historical Income Statements'!$B$4:$C$4)+('Historical Balance Sheets'!$E$19:$F$19/'Historical Income Statements'!$E$4:$F$4))</f>
        <v>697394809.33184898</v>
      </c>
      <c r="E19" s="202" cm="1">
        <f t="array" ref="E19">'Pro Forma Income Statement'!E4*AVERAGE(('Historical Balance Sheets'!$B$19:$C$20/'Historical Income Statements'!$B$4:$C$4)+('Historical Balance Sheets'!$E$19:$F$19/'Historical Income Statements'!$E$4:$F$4))</f>
        <v>756649336.95577586</v>
      </c>
      <c r="F19" s="125" cm="1">
        <f t="array" ref="F19">'Pro Forma Income Statement'!F4*AVERAGE(('Historical Balance Sheets'!$B$19:$C$20/'Historical Income Statements'!$B$4:$C$4)+('Historical Balance Sheets'!$E$19:$F$19/'Historical Income Statements'!$E$4:$F$4))</f>
        <v>820769022.08939767</v>
      </c>
    </row>
    <row r="20" spans="1:6" x14ac:dyDescent="0.25">
      <c r="A20" s="61" t="s">
        <v>64</v>
      </c>
      <c r="B20" s="123" cm="1">
        <f t="array" ref="B20">'Pro Forma Income Statement'!B4*(AVERAGE('Historical Balance Sheets'!$B$20:$F$20/'Historical Income Statements'!$B$4:$F$4))</f>
        <v>177065728.48892534</v>
      </c>
      <c r="C20" s="202" cm="1">
        <f t="array" ref="C20">'Pro Forma Income Statement'!C4*(AVERAGE('Historical Balance Sheets'!$B$20:$F$20/'Historical Income Statements'!$B$4:$F$4))</f>
        <v>183894652.7820664</v>
      </c>
      <c r="D20" s="124" cm="1">
        <f t="array" ref="D20">'Pro Forma Income Statement'!D4*(AVERAGE('Historical Balance Sheets'!$B$20:$F$20/'Historical Income Statements'!$B$4:$F$4))</f>
        <v>198870394.36357376</v>
      </c>
      <c r="E20" s="202" cm="1">
        <f t="array" ref="E20">'Pro Forma Income Statement'!E4*(AVERAGE('Historical Balance Sheets'!$B$20:$F$20/'Historical Income Statements'!$B$4:$F$4))</f>
        <v>215767525.11177573</v>
      </c>
      <c r="F20" s="125" cm="1">
        <f t="array" ref="F20">'Pro Forma Income Statement'!F4*(AVERAGE('Historical Balance Sheets'!$B$20:$F$20/'Historical Income Statements'!$B$4:$F$4))</f>
        <v>234052013.17845398</v>
      </c>
    </row>
    <row r="21" spans="1:6" x14ac:dyDescent="0.25">
      <c r="A21" s="61" t="s">
        <v>65</v>
      </c>
      <c r="B21" s="123" cm="1">
        <f t="array" ref="B21">'Pro Forma Income Statement'!B4*(AVERAGE(('Historical Balance Sheets'!$B$21:$D$21/'Historical Income Statements'!$B$4:$D$4)+('Historical Balance Sheets'!$F$21/'Historical Income Statements'!$F$4)))</f>
        <v>1026379161.0435781</v>
      </c>
      <c r="C21" s="202" cm="1">
        <f t="array" ref="C21">'Pro Forma Income Statement'!C4*(AVERAGE(('Historical Balance Sheets'!$B$21:$D$21/'Historical Income Statements'!$B$4:$D$4)+('Historical Balance Sheets'!$F$21/'Historical Income Statements'!$F$4)))</f>
        <v>1065963702.0309248</v>
      </c>
      <c r="D21" s="124" cm="1">
        <f t="array" ref="D21">'Pro Forma Income Statement'!D4*(AVERAGE(('Historical Balance Sheets'!$B$21:$D$21/'Historical Income Statements'!$B$4:$D$4)+('Historical Balance Sheets'!$F$21/'Historical Income Statements'!$F$4)))</f>
        <v>1152772082.2386978</v>
      </c>
      <c r="E21" s="202" cm="1">
        <f t="array" ref="E21">'Pro Forma Income Statement'!E4*(AVERAGE(('Historical Balance Sheets'!$B$21:$D$21/'Historical Income Statements'!$B$4:$D$4)+('Historical Balance Sheets'!$F$21/'Historical Income Statements'!$F$4)))</f>
        <v>1250717986.4483194</v>
      </c>
      <c r="F21" s="125" cm="1">
        <f t="array" ref="F21">'Pro Forma Income Statement'!F4*(AVERAGE(('Historical Balance Sheets'!$B$21:$D$21/'Historical Income Statements'!$B$4:$D$4)+('Historical Balance Sheets'!$F$21/'Historical Income Statements'!$F$4)))</f>
        <v>1356705845.7712054</v>
      </c>
    </row>
    <row r="22" spans="1:6" x14ac:dyDescent="0.25">
      <c r="A22" s="61" t="s">
        <v>66</v>
      </c>
      <c r="B22" s="123" cm="1">
        <f t="array" ref="B22">'Pro Forma Income Statement'!B4*(AVERAGE('Historical Balance Sheets'!$B$22:$F$22/'Historical Income Statements'!$B$4:$F$4))</f>
        <v>598668151.68976736</v>
      </c>
      <c r="C22" s="202" cm="1">
        <f t="array" ref="C22">'Pro Forma Income Statement'!C4*(AVERAGE('Historical Balance Sheets'!$B$22:$F$22/'Historical Income Statements'!$B$4:$F$4))</f>
        <v>621757088.88553774</v>
      </c>
      <c r="D22" s="124" cm="1">
        <f t="array" ref="D22">'Pro Forma Income Statement'!D4*(AVERAGE('Historical Balance Sheets'!$B$22:$F$22/'Historical Income Statements'!$B$4:$F$4))</f>
        <v>672390825.91243696</v>
      </c>
      <c r="E22" s="202" cm="1">
        <f t="array" ref="E22">'Pro Forma Income Statement'!E4*(AVERAGE('Historical Balance Sheets'!$B$22:$F$22/'Historical Income Statements'!$B$4:$F$4))</f>
        <v>729520876.5451268</v>
      </c>
      <c r="F22" s="125" cm="1">
        <f t="array" ref="F22">'Pro Forma Income Statement'!F4*(AVERAGE('Historical Balance Sheets'!$B$22:$F$22/'Historical Income Statements'!$B$4:$F$4))</f>
        <v>791341652.19091487</v>
      </c>
    </row>
    <row r="23" spans="1:6" x14ac:dyDescent="0.25">
      <c r="A23" s="61" t="s">
        <v>67</v>
      </c>
      <c r="B23" s="123" cm="1">
        <f t="array" ref="B23">'Pro Forma Income Statement'!B4*(AVERAGE('Historical Balance Sheets'!$B$23:$F$23/'Historical Income Statements'!$B$4:$F$4))</f>
        <v>3260258558.9186254</v>
      </c>
      <c r="C23" s="202" cm="1">
        <f t="array" ref="C23">'Pro Forma Income Statement'!C4*(AVERAGE('Historical Balance Sheets'!$B$23:$F$23/'Historical Income Statements'!$B$4:$F$4))</f>
        <v>3385997509.4480219</v>
      </c>
      <c r="D23" s="124" cm="1">
        <f t="array" ref="D23">'Pro Forma Income Statement'!D4*(AVERAGE('Historical Balance Sheets'!$B$23:$F$23/'Historical Income Statements'!$B$4:$F$4))</f>
        <v>3661741381.9858212</v>
      </c>
      <c r="E23" s="202" cm="1">
        <f t="array" ref="E23">'Pro Forma Income Statement'!E4*(AVERAGE('Historical Balance Sheets'!$B$23:$F$23/'Historical Income Statements'!$B$4:$F$4))</f>
        <v>3972863221.3904362</v>
      </c>
      <c r="F23" s="125" cm="1">
        <f t="array" ref="F23">'Pro Forma Income Statement'!F4*(AVERAGE('Historical Balance Sheets'!$B$23:$F$23/'Historical Income Statements'!$B$4:$F$4))</f>
        <v>4309530058.1835403</v>
      </c>
    </row>
    <row r="24" spans="1:6" x14ac:dyDescent="0.25">
      <c r="A24" s="118" t="s">
        <v>182</v>
      </c>
      <c r="B24" s="160">
        <f>SUM(B13:B23)</f>
        <v>14254338983.382231</v>
      </c>
      <c r="C24" s="203">
        <f>SUM(C13:C23)</f>
        <v>14672954902.797806</v>
      </c>
      <c r="D24" s="161">
        <f>SUM(D13:D23)</f>
        <v>15637774961.37501</v>
      </c>
      <c r="E24" s="203">
        <f>SUM(E13:E23)</f>
        <v>16230646509.230049</v>
      </c>
      <c r="F24" s="162">
        <f>SUM(F13:F23)</f>
        <v>17469094691.493832</v>
      </c>
    </row>
    <row r="25" spans="1:6" x14ac:dyDescent="0.25">
      <c r="A25" s="61" t="s">
        <v>68</v>
      </c>
      <c r="B25" s="123"/>
      <c r="C25" s="202"/>
      <c r="D25" s="124"/>
      <c r="E25" s="202"/>
      <c r="F25" s="125"/>
    </row>
    <row r="26" spans="1:6" ht="14.4" thickBot="1" x14ac:dyDescent="0.3">
      <c r="A26" s="118" t="s">
        <v>69</v>
      </c>
      <c r="B26" s="128">
        <f>SUM(B24+B10)</f>
        <v>25362462678.451912</v>
      </c>
      <c r="C26" s="205">
        <f t="shared" ref="C26:F26" si="1">SUM(C24+C10)</f>
        <v>26209487507.936279</v>
      </c>
      <c r="D26" s="129">
        <f t="shared" si="1"/>
        <v>28113802698.25032</v>
      </c>
      <c r="E26" s="205">
        <f t="shared" si="1"/>
        <v>29766706698.71254</v>
      </c>
      <c r="F26" s="130">
        <f t="shared" si="1"/>
        <v>32152222452.318291</v>
      </c>
    </row>
    <row r="27" spans="1:6" x14ac:dyDescent="0.25">
      <c r="A27" s="61"/>
      <c r="B27" s="123"/>
      <c r="C27" s="202"/>
      <c r="D27" s="124"/>
      <c r="E27" s="202"/>
      <c r="F27" s="125"/>
    </row>
    <row r="28" spans="1:6" x14ac:dyDescent="0.25">
      <c r="A28" s="118" t="s">
        <v>70</v>
      </c>
      <c r="B28" s="123"/>
      <c r="C28" s="202"/>
      <c r="D28" s="124"/>
      <c r="E28" s="202"/>
      <c r="F28" s="125"/>
    </row>
    <row r="29" spans="1:6" x14ac:dyDescent="0.25">
      <c r="A29" s="118" t="s">
        <v>71</v>
      </c>
      <c r="B29" s="123"/>
      <c r="C29" s="202"/>
      <c r="D29" s="124"/>
      <c r="E29" s="202"/>
      <c r="F29" s="125"/>
    </row>
    <row r="30" spans="1:6" x14ac:dyDescent="0.25">
      <c r="A30" s="61" t="s">
        <v>72</v>
      </c>
      <c r="B30" s="123">
        <v>3184672000</v>
      </c>
      <c r="C30" s="204">
        <v>3184672000</v>
      </c>
      <c r="D30" s="124">
        <v>3184672000</v>
      </c>
      <c r="E30" s="204">
        <v>3184672000</v>
      </c>
      <c r="F30" s="125">
        <v>3184672000</v>
      </c>
    </row>
    <row r="31" spans="1:6" x14ac:dyDescent="0.25">
      <c r="A31" s="61" t="s">
        <v>73</v>
      </c>
      <c r="B31" s="123" cm="1">
        <f t="array" ref="B31">'Pro Forma Balance Sheet'!B26*(AVERAGE('Historical Balance Sheets'!$B$31:$F$31/'Historical Balance Sheets'!$B$26:$F$26))</f>
        <v>12986134148.269314</v>
      </c>
      <c r="C31" s="202" cm="1">
        <f t="array" ref="C31">'Pro Forma Balance Sheet'!C26*(AVERAGE('Historical Balance Sheets'!$B$31:$F$31/'Historical Balance Sheets'!$B$26:$F$26))</f>
        <v>13419829337.96965</v>
      </c>
      <c r="D31" s="124" cm="1">
        <f t="array" ref="D31">'Pro Forma Balance Sheet'!D26*(AVERAGE('Historical Balance Sheets'!$B$31:$F$31/'Historical Balance Sheets'!$B$26:$F$26))</f>
        <v>14394880256.152594</v>
      </c>
      <c r="E31" s="202" cm="1">
        <f t="array" ref="E31">'Pro Forma Balance Sheet'!E26*(AVERAGE('Historical Balance Sheets'!$B$31:$F$31/'Historical Balance Sheets'!$B$26:$F$26))</f>
        <v>15241203160.84631</v>
      </c>
      <c r="F31" s="125" cm="1">
        <f t="array" ref="F31">'Pro Forma Balance Sheet'!F26*(AVERAGE('Historical Balance Sheets'!$B$31:$F$31/'Historical Balance Sheets'!$B$26:$F$26))</f>
        <v>16462639264.346371</v>
      </c>
    </row>
    <row r="32" spans="1:6" x14ac:dyDescent="0.25">
      <c r="A32" s="61"/>
      <c r="B32" s="160">
        <f>SUM(B30:B31)</f>
        <v>16170806148.269314</v>
      </c>
      <c r="C32" s="203">
        <f>SUM(C30:C31)</f>
        <v>16604501337.96965</v>
      </c>
      <c r="D32" s="161">
        <f>SUM(D30:D31)</f>
        <v>17579552256.152596</v>
      </c>
      <c r="E32" s="203">
        <f>SUM(E30:E31)</f>
        <v>18425875160.84631</v>
      </c>
      <c r="F32" s="162">
        <f>SUM(F30:F31)</f>
        <v>19647311264.346371</v>
      </c>
    </row>
    <row r="33" spans="1:6" x14ac:dyDescent="0.25">
      <c r="A33" s="61"/>
      <c r="B33" s="123"/>
      <c r="C33" s="202"/>
      <c r="D33" s="124"/>
      <c r="E33" s="202"/>
      <c r="F33" s="125"/>
    </row>
    <row r="34" spans="1:6" x14ac:dyDescent="0.25">
      <c r="A34" s="118" t="s">
        <v>74</v>
      </c>
      <c r="B34" s="123"/>
      <c r="C34" s="202"/>
      <c r="D34" s="124"/>
      <c r="E34" s="202"/>
      <c r="F34" s="125"/>
    </row>
    <row r="35" spans="1:6" ht="14.4" x14ac:dyDescent="0.3">
      <c r="A35" s="122" t="s">
        <v>75</v>
      </c>
      <c r="B35" s="123"/>
      <c r="C35" s="202"/>
      <c r="D35" s="124"/>
      <c r="E35" s="202"/>
      <c r="F35" s="125"/>
    </row>
    <row r="36" spans="1:6" x14ac:dyDescent="0.25">
      <c r="A36" s="61" t="s">
        <v>76</v>
      </c>
      <c r="B36" s="123" cm="1">
        <f t="array" ref="B36">-('Pro Forma Income Statement'!B12-'Pro Forma Income Statement'!B13)*(AVERAGE('Historical Balance Sheets'!$B$36:$F$36/'Historical Income Statements'!$B$7:$F$7))</f>
        <v>35851243.828028262</v>
      </c>
      <c r="C36" s="202" cm="1">
        <f t="array" ref="C36">-('Pro Forma Income Statement'!C12-'Pro Forma Income Statement'!C13)*(AVERAGE('Historical Balance Sheets'!$B$36:$F$36/'Historical Income Statements'!$B$7:$F$7))</f>
        <v>35166900.066378027</v>
      </c>
      <c r="D36" s="124" cm="1">
        <f t="array" ref="D36">-('Pro Forma Income Statement'!D12-'Pro Forma Income Statement'!D13)*(AVERAGE('Historical Balance Sheets'!$B$36:$F$36/'Historical Income Statements'!$B$7:$F$7))</f>
        <v>40485311.296593398</v>
      </c>
      <c r="E36" s="202" cm="1">
        <f t="array" ref="E36">-('Pro Forma Income Statement'!E12-'Pro Forma Income Statement'!E13)*(AVERAGE('Historical Balance Sheets'!$B$36:$F$36/'Historical Income Statements'!$B$7:$F$7))</f>
        <v>47327439.248787716</v>
      </c>
      <c r="F36" s="125" cm="1">
        <f t="array" ref="F36">-('Pro Forma Income Statement'!F12-'Pro Forma Income Statement'!F13)*(AVERAGE('Historical Balance Sheets'!$B$36:$F$36/'Historical Income Statements'!$B$7:$F$7))</f>
        <v>53862610.249000929</v>
      </c>
    </row>
    <row r="37" spans="1:6" x14ac:dyDescent="0.25">
      <c r="A37" s="61" t="s">
        <v>77</v>
      </c>
      <c r="B37" s="123" cm="1">
        <f t="array" ref="B37">'Pro Forma Income Statement'!B20*(AVERAGE('Historical Balance Sheets'!$B$37:$F$37/'Historical Income Statements'!$B$13:$F$13))</f>
        <v>566985608.77439868</v>
      </c>
      <c r="C37" s="202" cm="1">
        <f t="array" ref="C37">'Pro Forma Income Statement'!C20*(AVERAGE('Historical Balance Sheets'!$B$37:$F$37/'Historical Income Statements'!$B$13:$F$13))</f>
        <v>553807973.47095895</v>
      </c>
      <c r="D37" s="124" cm="1">
        <f t="array" ref="D37">'Pro Forma Income Statement'!D20*(AVERAGE('Historical Balance Sheets'!$B$37:$F$37/'Historical Income Statements'!$B$13:$F$13))</f>
        <v>600267661.77671623</v>
      </c>
      <c r="E37" s="202" cm="1">
        <f t="array" ref="E37">'Pro Forma Income Statement'!E20*(AVERAGE('Historical Balance Sheets'!$B$37:$F$37/'Historical Income Statements'!$B$13:$F$13))</f>
        <v>661848252.24382222</v>
      </c>
      <c r="F37" s="125" cm="1">
        <f t="array" ref="F37">'Pro Forma Income Statement'!F20*(AVERAGE('Historical Balance Sheets'!$B$37:$F$37/'Historical Income Statements'!$B$13:$F$13))</f>
        <v>716705410.34714365</v>
      </c>
    </row>
    <row r="38" spans="1:6" x14ac:dyDescent="0.25">
      <c r="A38" s="61" t="s">
        <v>78</v>
      </c>
      <c r="B38" s="123">
        <f>'Historical Balance Sheets'!B38*(1-('Historical Balance Sheets'!$B$46/'Historical Balance Sheets'!$B$38))</f>
        <v>33697000</v>
      </c>
      <c r="C38" s="123">
        <f>B38*(1-('Historical Balance Sheets'!$B$46/'Historical Balance Sheets'!$B$38))</f>
        <v>26677187.505873509</v>
      </c>
      <c r="D38" s="123">
        <f>C38*(1-('Historical Balance Sheets'!$B$46/'Historical Balance Sheets'!$B$38))</f>
        <v>21119753.486171875</v>
      </c>
      <c r="E38" s="123">
        <f>D38*(1-('Historical Balance Sheets'!$B$46/'Historical Balance Sheets'!$B$38))</f>
        <v>16720052.937306967</v>
      </c>
      <c r="F38" s="349">
        <f>E38*(1-('Historical Balance Sheets'!$B$46/'Historical Balance Sheets'!$B$38))</f>
        <v>13236904.986101704</v>
      </c>
    </row>
    <row r="39" spans="1:6" x14ac:dyDescent="0.25">
      <c r="A39" s="61"/>
      <c r="B39" s="160">
        <f>SUM(B36:B38)</f>
        <v>636533852.60242701</v>
      </c>
      <c r="C39" s="203">
        <f t="shared" ref="C39:F39" si="2">SUM(C36:C38)</f>
        <v>615652061.04321051</v>
      </c>
      <c r="D39" s="161">
        <f t="shared" si="2"/>
        <v>661872726.5594815</v>
      </c>
      <c r="E39" s="203">
        <f t="shared" si="2"/>
        <v>725895744.42991698</v>
      </c>
      <c r="F39" s="162">
        <f t="shared" si="2"/>
        <v>783804925.5822463</v>
      </c>
    </row>
    <row r="40" spans="1:6" x14ac:dyDescent="0.25">
      <c r="A40" s="61"/>
      <c r="B40" s="123"/>
      <c r="C40" s="202"/>
      <c r="D40" s="124"/>
      <c r="E40" s="202"/>
      <c r="F40" s="125"/>
    </row>
    <row r="41" spans="1:6" ht="14.4" x14ac:dyDescent="0.3">
      <c r="A41" s="122" t="s">
        <v>79</v>
      </c>
      <c r="B41" s="123"/>
      <c r="C41" s="202"/>
      <c r="D41" s="124"/>
      <c r="E41" s="202"/>
      <c r="F41" s="125"/>
    </row>
    <row r="42" spans="1:6" x14ac:dyDescent="0.25">
      <c r="A42" s="61" t="s">
        <v>80</v>
      </c>
      <c r="B42" s="123" cm="1">
        <f t="array" ref="B42">'Pro Forma Income Statement'!B4*AVERAGE('Historical Balance Sheets'!$B$42:$F$42/'Historical Income Statements'!$B$4:$F$4)</f>
        <v>6846721380.0384502</v>
      </c>
      <c r="C42" s="202" cm="1">
        <f t="array" ref="C42">'Pro Forma Income Statement'!C4*AVERAGE('Historical Balance Sheets'!$B$42:$F$42/'Historical Income Statements'!$B$4:$F$4)</f>
        <v>7110780056.7768879</v>
      </c>
      <c r="D42" s="124" cm="1">
        <f t="array" ref="D42">'Pro Forma Income Statement'!D4*AVERAGE('Historical Balance Sheets'!$B$42:$F$42/'Historical Income Statements'!$B$4:$F$4)</f>
        <v>7689857278.2305593</v>
      </c>
      <c r="E42" s="202" cm="1">
        <f t="array" ref="E42">'Pro Forma Income Statement'!E4*AVERAGE('Historical Balance Sheets'!$B$42:$F$42/'Historical Income Statements'!$B$4:$F$4)</f>
        <v>8343230166.0407228</v>
      </c>
      <c r="F42" s="125" cm="1">
        <f t="array" ref="F42">'Pro Forma Income Statement'!F4*AVERAGE('Historical Balance Sheets'!$B$42:$F$42/'Historical Income Statements'!$B$4:$F$4)</f>
        <v>9050248946.2278423</v>
      </c>
    </row>
    <row r="43" spans="1:6" x14ac:dyDescent="0.25">
      <c r="A43" s="61" t="s">
        <v>81</v>
      </c>
      <c r="B43" s="123">
        <f>'Pro Forma Income Statement'!B4*AVERAGE(('Historical Balance Sheets'!$B$43/'Pro Forma Income Statement'!B4))</f>
        <v>2353000</v>
      </c>
      <c r="C43" s="202">
        <f>'Pro Forma Income Statement'!C4*AVERAGE(('Historical Balance Sheets'!$B$43/'Pro Forma Income Statement'!C4))</f>
        <v>2353000</v>
      </c>
      <c r="D43" s="124">
        <f>'Pro Forma Income Statement'!D4*AVERAGE(('Historical Balance Sheets'!$B$43/'Pro Forma Income Statement'!D4))</f>
        <v>2353000</v>
      </c>
      <c r="E43" s="202"/>
      <c r="F43" s="125"/>
    </row>
    <row r="44" spans="1:6" x14ac:dyDescent="0.25">
      <c r="A44" s="61" t="s">
        <v>82</v>
      </c>
      <c r="B44" s="123" cm="1">
        <f t="array" ref="B44">'Pro Forma Income Statement'!B4*(AVERAGE('Historical Balance Sheets'!$D$44:$E$44/'Historical Income Statements'!$D$4:$E$4))</f>
        <v>539618256.82496691</v>
      </c>
      <c r="C44" s="202" cm="1">
        <f t="array" ref="C44">'Pro Forma Income Statement'!C4*(AVERAGE('Historical Balance Sheets'!$D$44:$E$44/'Historical Income Statements'!$D$4:$E$4))</f>
        <v>560429806.60652125</v>
      </c>
      <c r="D44" s="124" cm="1">
        <f t="array" ref="D44">'Pro Forma Income Statement'!D4*(AVERAGE('Historical Balance Sheets'!$D$44:$E$44/'Historical Income Statements'!$D$4:$E$4))</f>
        <v>606069262.84595728</v>
      </c>
      <c r="E44" s="202" cm="1">
        <f t="array" ref="E44">'Pro Forma Income Statement'!E4*(AVERAGE('Historical Balance Sheets'!$D$44:$E$44/'Historical Income Statements'!$D$4:$E$4))</f>
        <v>657564265.95864928</v>
      </c>
      <c r="F44" s="125" cm="1">
        <f t="array" ref="F44">'Pro Forma Income Statement'!F4*(AVERAGE('Historical Balance Sheets'!$D$44:$E$44/'Historical Income Statements'!$D$4:$E$4))</f>
        <v>713287322.37210393</v>
      </c>
    </row>
    <row r="45" spans="1:6" x14ac:dyDescent="0.25">
      <c r="A45" s="61" t="s">
        <v>83</v>
      </c>
      <c r="B45" s="123" cm="1">
        <f t="array" ref="B45">'Pro Forma Income Statement'!B4*(AVERAGE('Historical Balance Sheets'!$B$45:$F$45/'Historical Income Statements'!$B$4:$F$4))</f>
        <v>222878411.44246769</v>
      </c>
      <c r="C45" s="202">
        <f>AVERAGE('Historical Balance Sheets'!B45:D45)</f>
        <v>188378333.33333334</v>
      </c>
      <c r="D45" s="124">
        <f>AVERAGE('Historical Balance Sheets'!B45:C45)</f>
        <v>76682000</v>
      </c>
      <c r="E45" s="202"/>
      <c r="F45" s="125"/>
    </row>
    <row r="46" spans="1:6" x14ac:dyDescent="0.25">
      <c r="A46" s="61" t="s">
        <v>84</v>
      </c>
      <c r="B46" s="123">
        <f>B38*('Historical Balance Sheets'!$B$46/'Historical Balance Sheets'!$B$38)</f>
        <v>7019812.4941264912</v>
      </c>
      <c r="C46" s="123">
        <f>C38*('Historical Balance Sheets'!$B$46/'Historical Balance Sheets'!$B$38)</f>
        <v>5557434.0197016345</v>
      </c>
      <c r="D46" s="123">
        <f>D38*('Historical Balance Sheets'!$B$46/'Historical Balance Sheets'!$B$38)</f>
        <v>4399700.5488649094</v>
      </c>
      <c r="E46" s="123">
        <f>E38*('Historical Balance Sheets'!$B$46/'Historical Balance Sheets'!$B$38)</f>
        <v>3483147.9512052643</v>
      </c>
      <c r="F46" s="202">
        <f>F38*('Historical Balance Sheets'!$B$46/'Historical Balance Sheets'!$B$38)</f>
        <v>2757533.0446331124</v>
      </c>
    </row>
    <row r="47" spans="1:6" x14ac:dyDescent="0.25">
      <c r="A47" s="61" t="s">
        <v>85</v>
      </c>
      <c r="B47" s="123" cm="1">
        <f t="array" ref="B47">'Pro Forma Income Statement'!B22*(AVERAGE('Historical Balance Sheets'!$B$47:$D$47/'Historical Income Statements'!$B$15:$D$15))</f>
        <v>78309998.671013758</v>
      </c>
      <c r="C47" s="202"/>
      <c r="D47" s="124"/>
      <c r="E47" s="202"/>
      <c r="F47" s="125"/>
    </row>
    <row r="48" spans="1:6" x14ac:dyDescent="0.25">
      <c r="A48" s="61" t="s">
        <v>183</v>
      </c>
      <c r="B48" s="123">
        <f>B26-B32-B39-SUM(B42:B47)</f>
        <v>858221818.10914707</v>
      </c>
      <c r="C48" s="202">
        <f t="shared" ref="C48:F48" si="3">C26-C32-C39-SUM(C42:C47)</f>
        <v>1121835478.1869736</v>
      </c>
      <c r="D48" s="124">
        <f t="shared" si="3"/>
        <v>1493016473.9128618</v>
      </c>
      <c r="E48" s="202">
        <f t="shared" si="3"/>
        <v>1610658213.4857349</v>
      </c>
      <c r="F48" s="125">
        <f t="shared" si="3"/>
        <v>1954812460.7450924</v>
      </c>
    </row>
    <row r="49" spans="1:6" x14ac:dyDescent="0.25">
      <c r="A49" s="61"/>
      <c r="B49" s="160">
        <f>SUM(B42:B48)</f>
        <v>8555122677.5801716</v>
      </c>
      <c r="C49" s="203">
        <f t="shared" ref="C49:F49" si="4">SUM(C42:C48)</f>
        <v>8989334108.923418</v>
      </c>
      <c r="D49" s="161">
        <f t="shared" si="4"/>
        <v>9872377715.5382442</v>
      </c>
      <c r="E49" s="203">
        <f t="shared" si="4"/>
        <v>10614935793.436314</v>
      </c>
      <c r="F49" s="162">
        <f t="shared" si="4"/>
        <v>11721106262.389673</v>
      </c>
    </row>
    <row r="50" spans="1:6" x14ac:dyDescent="0.25">
      <c r="A50" s="61"/>
      <c r="B50" s="123"/>
      <c r="C50" s="202"/>
      <c r="D50" s="124"/>
      <c r="E50" s="202"/>
      <c r="F50" s="125"/>
    </row>
    <row r="51" spans="1:6" x14ac:dyDescent="0.25">
      <c r="A51" s="118" t="s">
        <v>86</v>
      </c>
      <c r="B51" s="163">
        <f>B39+B49</f>
        <v>9191656530.1825981</v>
      </c>
      <c r="C51" s="206">
        <f t="shared" ref="C51:F51" si="5">C39+C49</f>
        <v>9604986169.966629</v>
      </c>
      <c r="D51" s="164">
        <f t="shared" si="5"/>
        <v>10534250442.097725</v>
      </c>
      <c r="E51" s="206">
        <f t="shared" si="5"/>
        <v>11340831537.86623</v>
      </c>
      <c r="F51" s="165">
        <f t="shared" si="5"/>
        <v>12504911187.97192</v>
      </c>
    </row>
    <row r="52" spans="1:6" x14ac:dyDescent="0.25">
      <c r="A52" s="61"/>
      <c r="B52" s="123"/>
      <c r="C52" s="202"/>
      <c r="D52" s="124"/>
      <c r="E52" s="202"/>
      <c r="F52" s="125"/>
    </row>
    <row r="53" spans="1:6" x14ac:dyDescent="0.25">
      <c r="A53" s="118" t="s">
        <v>87</v>
      </c>
      <c r="B53" s="131">
        <f>B51+B32</f>
        <v>25362462678.451912</v>
      </c>
      <c r="C53" s="207">
        <f t="shared" ref="C53:F53" si="6">C51+C32</f>
        <v>26209487507.936279</v>
      </c>
      <c r="D53" s="132">
        <f t="shared" si="6"/>
        <v>28113802698.25032</v>
      </c>
      <c r="E53" s="207">
        <f t="shared" si="6"/>
        <v>29766706698.71254</v>
      </c>
      <c r="F53" s="133">
        <f t="shared" si="6"/>
        <v>32152222452.318291</v>
      </c>
    </row>
    <row r="55" spans="1:6" x14ac:dyDescent="0.25">
      <c r="B55" s="145"/>
      <c r="C55" s="145"/>
      <c r="D55" s="145"/>
      <c r="E55" s="145"/>
      <c r="F55" s="145"/>
    </row>
  </sheetData>
  <mergeCells count="2">
    <mergeCell ref="A1:F1"/>
    <mergeCell ref="A2:F2"/>
  </mergeCells>
  <pageMargins left="0.7" right="0.7" top="0.75" bottom="0.75" header="0.3" footer="0.3"/>
  <pageSetup orientation="portrait" horizontalDpi="4294967295" verticalDpi="4294967295"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theme="5" tint="0.79998168889431442"/>
  </sheetPr>
  <dimension ref="A1:F38"/>
  <sheetViews>
    <sheetView zoomScale="123" zoomScaleNormal="123" workbookViewId="0">
      <selection activeCell="B19" sqref="B19"/>
    </sheetView>
  </sheetViews>
  <sheetFormatPr defaultColWidth="8.88671875" defaultRowHeight="13.8" x14ac:dyDescent="0.25"/>
  <cols>
    <col min="1" max="1" width="49.33203125" style="3" bestFit="1" customWidth="1"/>
    <col min="2" max="2" width="17.109375" style="3" bestFit="1" customWidth="1"/>
    <col min="3" max="4" width="17.88671875" style="3" bestFit="1" customWidth="1"/>
    <col min="5" max="5" width="17.44140625" style="3" bestFit="1" customWidth="1"/>
    <col min="6" max="6" width="17.88671875" style="3" bestFit="1" customWidth="1"/>
    <col min="7" max="7" width="16.5546875" style="3" customWidth="1"/>
    <col min="8" max="8" width="16.5546875" style="3" bestFit="1" customWidth="1"/>
    <col min="9" max="12" width="16.5546875" style="3" customWidth="1"/>
    <col min="13" max="13" width="16.5546875" style="3" bestFit="1" customWidth="1"/>
    <col min="14" max="15" width="16.5546875" style="3" customWidth="1"/>
    <col min="16" max="16" width="16.5546875" style="3" bestFit="1" customWidth="1"/>
    <col min="17" max="16384" width="8.88671875" style="3"/>
  </cols>
  <sheetData>
    <row r="1" spans="1:6" ht="15.6" x14ac:dyDescent="0.3">
      <c r="A1" s="473" t="s">
        <v>11</v>
      </c>
      <c r="B1" s="474"/>
      <c r="C1" s="474"/>
      <c r="D1" s="474"/>
      <c r="E1" s="474"/>
      <c r="F1" s="475"/>
    </row>
    <row r="2" spans="1:6" ht="16.2" thickBot="1" x14ac:dyDescent="0.35">
      <c r="A2" s="476" t="s">
        <v>195</v>
      </c>
      <c r="B2" s="477"/>
      <c r="C2" s="477"/>
      <c r="D2" s="477"/>
      <c r="E2" s="477"/>
      <c r="F2" s="478"/>
    </row>
    <row r="3" spans="1:6" x14ac:dyDescent="0.25">
      <c r="A3" s="116"/>
      <c r="B3" s="192">
        <v>2020</v>
      </c>
      <c r="C3" s="192">
        <v>2021</v>
      </c>
      <c r="D3" s="191">
        <v>2022</v>
      </c>
      <c r="E3" s="182">
        <v>2023</v>
      </c>
      <c r="F3" s="182">
        <v>2024</v>
      </c>
    </row>
    <row r="4" spans="1:6" x14ac:dyDescent="0.25">
      <c r="A4" s="180" t="s">
        <v>196</v>
      </c>
      <c r="B4" s="193"/>
      <c r="C4" s="193"/>
      <c r="D4" s="193"/>
      <c r="E4" s="149"/>
      <c r="F4" s="149"/>
    </row>
    <row r="5" spans="1:6" x14ac:dyDescent="0.25">
      <c r="A5" s="180" t="s">
        <v>197</v>
      </c>
      <c r="B5" s="194">
        <f>'Pro Forma Income Statement'!B4*'Sales &amp; Purchases Schedule'!$D$3</f>
        <v>33726880448.311165</v>
      </c>
      <c r="C5" s="194">
        <f>'Pro Forma Income Statement'!C4*'Sales &amp; Purchases Schedule'!D3</f>
        <v>35027630826.099503</v>
      </c>
      <c r="D5" s="194">
        <f>'Pro Forma Income Statement'!D4*'Sales &amp; Purchases Schedule'!D3</f>
        <v>37880159377.24649</v>
      </c>
      <c r="E5" s="156">
        <f>'Pro Forma Income Statement'!E4*'Sales &amp; Purchases Schedule'!D3</f>
        <v>41098667631.370522</v>
      </c>
      <c r="F5" s="156">
        <f>'Pro Forma Income Statement'!F4*'Sales &amp; Purchases Schedule'!D3</f>
        <v>44581435010.163414</v>
      </c>
    </row>
    <row r="6" spans="1:6" x14ac:dyDescent="0.25">
      <c r="A6" s="180" t="s">
        <v>198</v>
      </c>
      <c r="B6" s="194"/>
      <c r="C6" s="194"/>
      <c r="D6" s="194"/>
      <c r="E6" s="156"/>
      <c r="F6" s="156"/>
    </row>
    <row r="7" spans="1:6" x14ac:dyDescent="0.25">
      <c r="A7" s="180" t="s">
        <v>199</v>
      </c>
      <c r="B7" s="194">
        <f>'Sales &amp; Purchases Schedule'!B7</f>
        <v>235452000</v>
      </c>
      <c r="C7" s="194">
        <f>'Pro Forma Income Statement'!B4*'Sales &amp; Purchases Schedule'!$D$7</f>
        <v>257149526.0959895</v>
      </c>
      <c r="D7" s="194">
        <f>'Pro Forma Income Statement'!C4*'Sales &amp; Purchases Schedule'!$D$7</f>
        <v>267067055.93483946</v>
      </c>
      <c r="E7" s="156">
        <f>'Pro Forma Income Statement'!D4*'Sales &amp; Purchases Schedule'!$D$7</f>
        <v>288816069.04700404</v>
      </c>
      <c r="F7" s="156">
        <f>'Pro Forma Income Statement'!E4*'Sales &amp; Purchases Schedule'!$D$7</f>
        <v>313355482.75152498</v>
      </c>
    </row>
    <row r="8" spans="1:6" x14ac:dyDescent="0.25">
      <c r="A8" s="180" t="s">
        <v>200</v>
      </c>
      <c r="B8" s="194">
        <f>SUM(('Pro Forma Income Statement'!B4*'Sales &amp; Purchases Schedule'!$D$4),('Pro Forma Income Statement'!B4*'Sales &amp; Purchases Schedule'!$D$5),('Pro Forma Income Statement'!B4*'Sales &amp; Purchases Schedule'!$D$6))</f>
        <v>1106082025.5928464</v>
      </c>
      <c r="C8" s="194">
        <f>SUM(('Pro Forma Income Statement'!C4*'Sales &amp; Purchases Schedule'!$D$4),('Pro Forma Income Statement'!C4*'Sales &amp; Purchases Schedule'!$D$5),('Pro Forma Income Statement'!C4*'Sales &amp; Purchases Schedule'!$D$6))</f>
        <v>1148740480.6153841</v>
      </c>
      <c r="D8" s="194">
        <f>SUM(('Pro Forma Income Statement'!D4*'Sales &amp; Purchases Schedule'!$D$4),('Pro Forma Income Statement'!D4*'Sales &amp; Purchases Schedule'!$D$5),('Pro Forma Income Statement'!D4*'Sales &amp; Purchases Schedule'!$D$6))</f>
        <v>1242289914.0635664</v>
      </c>
      <c r="E8" s="156">
        <f>SUM(('Pro Forma Income Statement'!E4*'Sales &amp; Purchases Schedule'!$D$4),('Pro Forma Income Statement'!E4*'Sales &amp; Purchases Schedule'!$D$5),('Pro Forma Income Statement'!E4*'Sales &amp; Purchases Schedule'!$D$6))</f>
        <v>1347841749.3293467</v>
      </c>
      <c r="F8" s="156">
        <f>SUM(('Pro Forma Income Statement'!F4*'Sales &amp; Purchases Schedule'!$D$4),('Pro Forma Income Statement'!F4*'Sales &amp; Purchases Schedule'!$D$5),('Pro Forma Income Statement'!F4*'Sales &amp; Purchases Schedule'!$D$6))</f>
        <v>1462060032.9594543</v>
      </c>
    </row>
    <row r="9" spans="1:6" x14ac:dyDescent="0.25">
      <c r="A9" s="180" t="s">
        <v>201</v>
      </c>
      <c r="B9" s="194">
        <f>'Pro Forma Income Statement'!B17*0.8</f>
        <v>1625471200.4405177</v>
      </c>
      <c r="C9" s="194">
        <f>'Pro Forma Income Statement'!C17*0.8</f>
        <v>1658427717.5898521</v>
      </c>
      <c r="D9" s="194">
        <f>'Pro Forma Income Statement'!D17*0.8</f>
        <v>1692052429.9199562</v>
      </c>
      <c r="E9" s="156">
        <f>'Pro Forma Income Statement'!E17*0.8</f>
        <v>1726358885.1245255</v>
      </c>
      <c r="F9" s="156">
        <f>'Pro Forma Income Statement'!F17*0.8</f>
        <v>1761360905.5774832</v>
      </c>
    </row>
    <row r="10" spans="1:6" x14ac:dyDescent="0.25">
      <c r="A10" s="181" t="s">
        <v>202</v>
      </c>
      <c r="B10" s="195">
        <f>SUM(B5:B9)</f>
        <v>36693885674.344536</v>
      </c>
      <c r="C10" s="195">
        <f t="shared" ref="C10:F10" si="0">SUM(C5:C9)</f>
        <v>38091948550.400734</v>
      </c>
      <c r="D10" s="195">
        <f t="shared" si="0"/>
        <v>41081568777.164856</v>
      </c>
      <c r="E10" s="184">
        <f t="shared" si="0"/>
        <v>44461684334.871399</v>
      </c>
      <c r="F10" s="184">
        <f t="shared" si="0"/>
        <v>48118211431.451881</v>
      </c>
    </row>
    <row r="11" spans="1:6" x14ac:dyDescent="0.25">
      <c r="A11" s="180" t="s">
        <v>203</v>
      </c>
      <c r="B11" s="194"/>
      <c r="C11" s="194"/>
      <c r="D11" s="194"/>
      <c r="E11" s="156"/>
      <c r="F11" s="156"/>
    </row>
    <row r="12" spans="1:6" x14ac:dyDescent="0.25">
      <c r="A12" s="180" t="s">
        <v>204</v>
      </c>
      <c r="B12" s="194">
        <f>-'Pro Forma Income Statement'!B4*'Sales &amp; Purchases Schedule'!K3</f>
        <v>-17342095189.615345</v>
      </c>
      <c r="C12" s="194">
        <f>-'Pro Forma Income Statement'!C4*'Sales &amp; Purchases Schedule'!K3</f>
        <v>-18010930746.586136</v>
      </c>
      <c r="D12" s="194">
        <f>-'Pro Forma Income Statement'!D4*'Sales &amp; Purchases Schedule'!K3</f>
        <v>-19477678367.698059</v>
      </c>
      <c r="E12" s="156">
        <f>-'Pro Forma Income Statement'!E4*'Sales &amp; Purchases Schedule'!K3</f>
        <v>-21132609857.644871</v>
      </c>
      <c r="F12" s="156">
        <f>-'Pro Forma Income Statement'!F4*'Sales &amp; Purchases Schedule'!K3</f>
        <v>-22923421299.541447</v>
      </c>
    </row>
    <row r="13" spans="1:6" x14ac:dyDescent="0.25">
      <c r="A13" s="180" t="s">
        <v>205</v>
      </c>
      <c r="B13" s="194"/>
      <c r="C13" s="194"/>
      <c r="D13" s="194"/>
      <c r="E13" s="156"/>
      <c r="F13" s="156"/>
    </row>
    <row r="14" spans="1:6" s="189" customFormat="1" x14ac:dyDescent="0.25">
      <c r="A14" s="180" t="s">
        <v>199</v>
      </c>
      <c r="B14" s="194">
        <f>-'Sales &amp; Purchases Schedule'!H4*0.2</f>
        <v>-215887400</v>
      </c>
      <c r="C14" s="194">
        <f>-'Pro Forma Income Statement'!$B$4*'Sales &amp; Purchases Schedule'!$K$4*0.2</f>
        <v>-254579748.74278066</v>
      </c>
      <c r="D14" s="194">
        <f>-'Pro Forma Income Statement'!$C$4*'Sales &amp; Purchases Schedule'!$K$4*0.2</f>
        <v>-264398169.53808472</v>
      </c>
      <c r="E14" s="156">
        <f>-'Pro Forma Income Statement'!$D$4*'Sales &amp; Purchases Schedule'!$K$4*0.2</f>
        <v>-285929837.81513023</v>
      </c>
      <c r="F14" s="156">
        <f>-'Pro Forma Income Statement'!$E$4*'Sales &amp; Purchases Schedule'!$K$4*0.2</f>
        <v>-310224021.32010037</v>
      </c>
    </row>
    <row r="15" spans="1:6" s="189" customFormat="1" x14ac:dyDescent="0.25">
      <c r="A15" s="180" t="s">
        <v>200</v>
      </c>
      <c r="B15" s="194">
        <f>-'Pro Forma Income Statement'!$B$4*'Sales &amp; Purchases Schedule'!$K$4*0.8</f>
        <v>-1018318994.9711226</v>
      </c>
      <c r="C15" s="194">
        <f>-'Pro Forma Income Statement'!$C$4*'Sales &amp; Purchases Schedule'!$K$4*0.8</f>
        <v>-1057592678.1523389</v>
      </c>
      <c r="D15" s="194">
        <f>-'Pro Forma Income Statement'!$D$4*'Sales &amp; Purchases Schedule'!$K$4*0.8</f>
        <v>-1143719351.2605209</v>
      </c>
      <c r="E15" s="156">
        <f>-'Pro Forma Income Statement'!$E$4*'Sales &amp; Purchases Schedule'!$K$4*0.8</f>
        <v>-1240896085.2804015</v>
      </c>
      <c r="F15" s="156">
        <f>-'Pro Forma Income Statement'!$F$4*'Sales &amp; Purchases Schedule'!$K$4*0.8</f>
        <v>-1346051620.8576086</v>
      </c>
    </row>
    <row r="16" spans="1:6" s="189" customFormat="1" x14ac:dyDescent="0.25">
      <c r="A16" s="180" t="s">
        <v>206</v>
      </c>
      <c r="B16" s="194">
        <f>((('Pro Forma Income Statement'!B7+'Pro Forma Income Statement'!B8)+('Pro Forma Income Statement'!B4*'Sales &amp; Purchases Schedule'!K5))*0.9)+(('Historical Income Statements'!B5+'Historical Income Statements'!B27)*0.1)</f>
        <v>-9516063236.1362114</v>
      </c>
      <c r="C16" s="194">
        <f>((('Pro Forma Income Statement'!C7+'Pro Forma Income Statement'!C8)+('Pro Forma Income Statement'!C4*'Sales &amp; Purchases Schedule'!K5))*0.9)+((('Pro Forma Income Statement'!B7+'Pro Forma Income Statement'!B8)+('Pro Forma Income Statement'!B4*'Sales &amp; Purchases Schedule'!K5))*0.1)</f>
        <v>-9952660031.1546154</v>
      </c>
      <c r="D16" s="194">
        <f>((('Pro Forma Income Statement'!D7+'Pro Forma Income Statement'!D8)+('Pro Forma Income Statement'!D4*'Sales &amp; Purchases Schedule'!K5))*0.9)+((('Pro Forma Income Statement'!C7+'Pro Forma Income Statement'!C8)+('Pro Forma Income Statement'!C4*'Sales &amp; Purchases Schedule'!K5))*0.1)</f>
        <v>-10711315404.478697</v>
      </c>
      <c r="E16" s="156">
        <f>((('Pro Forma Income Statement'!E7+'Pro Forma Income Statement'!E8)+('Pro Forma Income Statement'!E4*'Sales &amp; Purchases Schedule'!K5))*0.9)+((('Pro Forma Income Statement'!D7+'Pro Forma Income Statement'!D8)+('Pro Forma Income Statement'!D4*'Sales &amp; Purchases Schedule'!K5))*0.1)</f>
        <v>-11547816714.843895</v>
      </c>
      <c r="F16" s="156">
        <f>((('Pro Forma Income Statement'!F7+'Pro Forma Income Statement'!F8)+('Pro Forma Income Statement'!F4*'Sales &amp; Purchases Schedule'!K5))*0.9)+((('Pro Forma Income Statement'!E7+'Pro Forma Income Statement'!E8)+('Pro Forma Income Statement'!E4*'Sales &amp; Purchases Schedule'!K5))*0.1)</f>
        <v>-12502063758.218246</v>
      </c>
    </row>
    <row r="17" spans="1:6" s="189" customFormat="1" x14ac:dyDescent="0.25">
      <c r="A17" s="180" t="s">
        <v>207</v>
      </c>
      <c r="B17" s="194">
        <f>(('Pro Forma Income Statement'!B12+'Pro Forma Income Statement'!B13)*0.9)+('Historical Income Statements'!B7*0.1)</f>
        <v>-3333987124.0604038</v>
      </c>
      <c r="C17" s="194">
        <f>(('Pro Forma Income Statement'!C12+'Pro Forma Income Statement'!C13)*0.9)+(('Pro Forma Income Statement'!B12+'Pro Forma Income Statement'!B13)*0.1)</f>
        <v>-3482714204.9712262</v>
      </c>
      <c r="D17" s="194">
        <f>(('Pro Forma Income Statement'!D12+'Pro Forma Income Statement'!D13)*0.9)+(('Pro Forma Income Statement'!C12+'Pro Forma Income Statement'!C13)*0.1)</f>
        <v>-3718175178.2839742</v>
      </c>
      <c r="E17" s="156">
        <f>(('Pro Forma Income Statement'!E12+'Pro Forma Income Statement'!E13)*0.9)+(('Pro Forma Income Statement'!D12+'Pro Forma Income Statement'!D13)*0.1)</f>
        <v>-3976927547.2646956</v>
      </c>
      <c r="F17" s="156">
        <f>(('Pro Forma Income Statement'!F12+'Pro Forma Income Statement'!F13)*0.9)+(('Pro Forma Income Statement'!E12+'Pro Forma Income Statement'!E13)*0.1)</f>
        <v>-4269848155.4380059</v>
      </c>
    </row>
    <row r="18" spans="1:6" x14ac:dyDescent="0.25">
      <c r="A18" s="180" t="s">
        <v>17</v>
      </c>
      <c r="B18" s="194">
        <f>('Pro Forma Income Statement'!B15*0.9)+('Historical Income Statements'!B8*0.05)</f>
        <v>-1106154736.1044533</v>
      </c>
      <c r="C18" s="194">
        <f>('Pro Forma Income Statement'!C15*0.9)+('Pro Forma Income Statement'!B15*0.05)</f>
        <v>-1163983047.8327761</v>
      </c>
      <c r="D18" s="194">
        <f>('Pro Forma Income Statement'!D15*0.9)+('Pro Forma Income Statement'!C15*0.05)</f>
        <v>-1214099754.7017665</v>
      </c>
      <c r="E18" s="156">
        <f>('Pro Forma Income Statement'!E15*0.9)+('Pro Forma Income Statement'!D15*0.05)</f>
        <v>-1260692214.8274386</v>
      </c>
      <c r="F18" s="156">
        <f>('Pro Forma Income Statement'!F15*0.9)+('Pro Forma Income Statement'!E15*0.05)</f>
        <v>-1319152210.2780063</v>
      </c>
    </row>
    <row r="19" spans="1:6" x14ac:dyDescent="0.25">
      <c r="A19" s="180" t="s">
        <v>208</v>
      </c>
      <c r="B19" s="194" cm="1">
        <f t="array" ref="B19">-'Pro Forma Income Statement'!B22*(AVERAGE('Historical Income Statements'!$B$29:$F$29/'Historical Income Statements'!$B$15:$F$15))</f>
        <v>-1851285837.4070823</v>
      </c>
      <c r="C19" s="194" cm="1">
        <f t="array" ref="C19">-'Pro Forma Income Statement'!C22*(AVERAGE('Historical Income Statements'!$B$29:$F$29/'Historical Income Statements'!$B$15:$F$15))</f>
        <v>-1808259049.3718319</v>
      </c>
      <c r="D19" s="194" cm="1">
        <f t="array" ref="D19">-'Pro Forma Income Statement'!D22*(AVERAGE('Historical Income Statements'!$B$29:$F$29/'Historical Income Statements'!$B$15:$F$15))</f>
        <v>-1959956308.7726762</v>
      </c>
      <c r="E19" s="194" cm="1">
        <f t="array" ref="E19">-'Pro Forma Income Statement'!E22*(AVERAGE('Historical Income Statements'!$B$29:$F$29/'Historical Income Statements'!$B$15:$F$15))</f>
        <v>-2161025389.2337294</v>
      </c>
      <c r="F19" s="194" cm="1">
        <f t="array" ref="F19">-'Pro Forma Income Statement'!F22*(AVERAGE('Historical Income Statements'!$B$29:$F$29/'Historical Income Statements'!$B$15:$F$15))</f>
        <v>-2340141540.1649771</v>
      </c>
    </row>
    <row r="20" spans="1:6" x14ac:dyDescent="0.25">
      <c r="A20" s="180" t="s">
        <v>209</v>
      </c>
      <c r="B20" s="194">
        <f>B21-SUM(B12:B19)</f>
        <v>-1396867597.1312943</v>
      </c>
      <c r="C20" s="194">
        <f t="shared" ref="C20:F20" si="1">C21-SUM(C12:C19)</f>
        <v>-2235490093.0596313</v>
      </c>
      <c r="D20" s="194">
        <f t="shared" si="1"/>
        <v>-2316482369.89328</v>
      </c>
      <c r="E20" s="194">
        <f t="shared" si="1"/>
        <v>-2544664848.5566254</v>
      </c>
      <c r="F20" s="194">
        <f t="shared" si="1"/>
        <v>-2770641988.8403854</v>
      </c>
    </row>
    <row r="21" spans="1:6" x14ac:dyDescent="0.25">
      <c r="A21" s="181" t="s">
        <v>210</v>
      </c>
      <c r="B21" s="195">
        <f>B22-B10</f>
        <v>-35780660115.425911</v>
      </c>
      <c r="C21" s="195">
        <f>C22-C10</f>
        <v>-37966209599.871338</v>
      </c>
      <c r="D21" s="195">
        <f>D22-D10</f>
        <v>-40805824904.62706</v>
      </c>
      <c r="E21" s="184">
        <f>E22-E10</f>
        <v>-44150562495.466782</v>
      </c>
      <c r="F21" s="184">
        <f>F22-F10</f>
        <v>-47781544594.658775</v>
      </c>
    </row>
    <row r="22" spans="1:6" x14ac:dyDescent="0.25">
      <c r="A22" s="181" t="s">
        <v>211</v>
      </c>
      <c r="B22" s="196">
        <f>B24-B23</f>
        <v>913225558.91862535</v>
      </c>
      <c r="C22" s="196">
        <f>C24-C23</f>
        <v>125738950.52939653</v>
      </c>
      <c r="D22" s="196">
        <f>D24-D23</f>
        <v>275743872.53779936</v>
      </c>
      <c r="E22" s="185">
        <f>E24-E23</f>
        <v>311121839.40461493</v>
      </c>
      <c r="F22" s="185">
        <f>F24-F23</f>
        <v>336666836.79310417</v>
      </c>
    </row>
    <row r="23" spans="1:6" x14ac:dyDescent="0.25">
      <c r="A23" s="180" t="s">
        <v>212</v>
      </c>
      <c r="B23" s="194">
        <f>'Historical Balance Sheets'!B23</f>
        <v>2347033000</v>
      </c>
      <c r="C23" s="194">
        <f>B24</f>
        <v>3260258558.9186254</v>
      </c>
      <c r="D23" s="194">
        <f>C24</f>
        <v>3385997509.4480219</v>
      </c>
      <c r="E23" s="156">
        <f>D24</f>
        <v>3661741381.9858212</v>
      </c>
      <c r="F23" s="156">
        <f>E24</f>
        <v>3972863221.3904362</v>
      </c>
    </row>
    <row r="24" spans="1:6" x14ac:dyDescent="0.25">
      <c r="A24" s="181" t="s">
        <v>213</v>
      </c>
      <c r="B24" s="197">
        <f>'Pro Forma Balance Sheet'!B23</f>
        <v>3260258558.9186254</v>
      </c>
      <c r="C24" s="197">
        <f>'Pro Forma Balance Sheet'!C23</f>
        <v>3385997509.4480219</v>
      </c>
      <c r="D24" s="197">
        <f>'Pro Forma Balance Sheet'!D23</f>
        <v>3661741381.9858212</v>
      </c>
      <c r="E24" s="186">
        <f>'Pro Forma Balance Sheet'!E23</f>
        <v>3972863221.3904362</v>
      </c>
      <c r="F24" s="186">
        <f>'Pro Forma Balance Sheet'!F23</f>
        <v>4309530058.1835403</v>
      </c>
    </row>
    <row r="25" spans="1:6" ht="14.4" thickBot="1" x14ac:dyDescent="0.3">
      <c r="A25" s="180" t="s">
        <v>214</v>
      </c>
      <c r="B25" s="198">
        <v>3500000000</v>
      </c>
      <c r="C25" s="198">
        <v>3500000000</v>
      </c>
      <c r="D25" s="198">
        <v>3500000000</v>
      </c>
      <c r="E25" s="188">
        <v>3500000000</v>
      </c>
      <c r="F25" s="188">
        <v>3500000000</v>
      </c>
    </row>
    <row r="26" spans="1:6" x14ac:dyDescent="0.25">
      <c r="A26" s="180" t="s">
        <v>215</v>
      </c>
      <c r="B26" s="199">
        <f t="shared" ref="B26:F26" si="2">IF(B25&gt;B24, B25-B24, " ")</f>
        <v>239741441.08137465</v>
      </c>
      <c r="C26" s="199">
        <f t="shared" si="2"/>
        <v>114002490.55197811</v>
      </c>
      <c r="D26" s="199" t="str">
        <f t="shared" si="2"/>
        <v xml:space="preserve"> </v>
      </c>
      <c r="E26" s="187" t="str">
        <f t="shared" si="2"/>
        <v xml:space="preserve"> </v>
      </c>
      <c r="F26" s="187" t="str">
        <f t="shared" si="2"/>
        <v xml:space="preserve"> </v>
      </c>
    </row>
    <row r="27" spans="1:6" x14ac:dyDescent="0.25">
      <c r="A27" s="180" t="s">
        <v>216</v>
      </c>
      <c r="B27" s="200" t="str">
        <f t="shared" ref="B27:F27" si="3">IF(B25&lt;B24, B24-B25, " ")</f>
        <v xml:space="preserve"> </v>
      </c>
      <c r="C27" s="200" t="str">
        <f t="shared" si="3"/>
        <v xml:space="preserve"> </v>
      </c>
      <c r="D27" s="200">
        <f t="shared" si="3"/>
        <v>161741381.98582125</v>
      </c>
      <c r="E27" s="183">
        <f t="shared" si="3"/>
        <v>472863221.39043617</v>
      </c>
      <c r="F27" s="183">
        <f t="shared" si="3"/>
        <v>809530058.18354034</v>
      </c>
    </row>
    <row r="35" spans="2:2" x14ac:dyDescent="0.25">
      <c r="B35" s="190"/>
    </row>
    <row r="36" spans="2:2" x14ac:dyDescent="0.25">
      <c r="B36" s="190"/>
    </row>
    <row r="38" spans="2:2" x14ac:dyDescent="0.25">
      <c r="B38" s="145"/>
    </row>
  </sheetData>
  <mergeCells count="2">
    <mergeCell ref="A2:F2"/>
    <mergeCell ref="A1:F1"/>
  </mergeCells>
  <pageMargins left="0.7" right="0.7" top="0.75" bottom="0.75" header="0.3" footer="0.3"/>
  <pageSetup orientation="portrait" horizontalDpi="4294967295" verticalDpi="4294967295"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C00000"/>
  </sheetPr>
  <dimension ref="A1:K8"/>
  <sheetViews>
    <sheetView zoomScale="128" zoomScaleNormal="85" workbookViewId="0">
      <selection activeCell="E8" sqref="E8"/>
    </sheetView>
  </sheetViews>
  <sheetFormatPr defaultRowHeight="14.4" x14ac:dyDescent="0.3"/>
  <cols>
    <col min="1" max="1" width="16" bestFit="1" customWidth="1"/>
    <col min="2" max="3" width="17.33203125" bestFit="1" customWidth="1"/>
    <col min="4" max="4" width="20.6640625" bestFit="1" customWidth="1"/>
    <col min="7" max="7" width="21" bestFit="1" customWidth="1"/>
    <col min="8" max="9" width="17.33203125" bestFit="1" customWidth="1"/>
    <col min="10" max="10" width="25.6640625" bestFit="1" customWidth="1"/>
    <col min="11" max="11" width="20.6640625" bestFit="1" customWidth="1"/>
  </cols>
  <sheetData>
    <row r="1" spans="1:11" ht="21" thickBot="1" x14ac:dyDescent="0.35">
      <c r="A1" s="501" t="s">
        <v>60</v>
      </c>
      <c r="B1" s="502"/>
      <c r="C1" s="502"/>
      <c r="D1" s="503"/>
      <c r="E1" s="273"/>
      <c r="F1" s="273"/>
      <c r="G1" s="501" t="s">
        <v>184</v>
      </c>
      <c r="H1" s="502"/>
      <c r="I1" s="502"/>
      <c r="J1" s="502"/>
      <c r="K1" s="503"/>
    </row>
    <row r="2" spans="1:11" ht="15.6" x14ac:dyDescent="0.3">
      <c r="A2" s="77" t="s">
        <v>185</v>
      </c>
      <c r="B2" s="242">
        <v>2019</v>
      </c>
      <c r="C2" s="170">
        <v>2018</v>
      </c>
      <c r="D2" s="243" t="s">
        <v>34</v>
      </c>
      <c r="E2" s="273"/>
      <c r="F2" s="273"/>
      <c r="G2" s="77" t="s">
        <v>185</v>
      </c>
      <c r="H2" s="170">
        <v>2019</v>
      </c>
      <c r="I2" s="170">
        <v>2018</v>
      </c>
      <c r="J2" s="170" t="s">
        <v>186</v>
      </c>
      <c r="K2" s="170" t="s">
        <v>34</v>
      </c>
    </row>
    <row r="3" spans="1:11" ht="15.6" x14ac:dyDescent="0.3">
      <c r="A3" s="169" t="s">
        <v>187</v>
      </c>
      <c r="B3" s="171">
        <f>B8-SUM(B4:B7)</f>
        <v>35455049000</v>
      </c>
      <c r="C3" s="244">
        <f>C8-SUM(C4:C7)</f>
        <v>32411940000</v>
      </c>
      <c r="D3" s="174" cm="1">
        <f t="array" ref="D3">AVERAGE(B3:C3/$B$8:$C$8)</f>
        <v>0.96115054999856264</v>
      </c>
      <c r="E3" s="273"/>
      <c r="F3" s="273"/>
      <c r="G3" s="169" t="s">
        <v>188</v>
      </c>
      <c r="H3" s="244">
        <f>H5-H4</f>
        <v>17940414000</v>
      </c>
      <c r="I3" s="172">
        <f>I5-I4</f>
        <v>16935822000</v>
      </c>
      <c r="J3" s="247" cm="1">
        <f t="array" ref="J3">AVERAGE(H3:I3/$H$5:$I$5)</f>
        <v>0.93184672028614746</v>
      </c>
      <c r="K3" s="167" cm="1">
        <f t="array" ref="K3">AVERAGE(H3:I3/'Historical Income Statements'!$B$4:$C$4)</f>
        <v>0.49421601132579301</v>
      </c>
    </row>
    <row r="4" spans="1:11" ht="15.6" x14ac:dyDescent="0.3">
      <c r="A4" s="169" t="s">
        <v>189</v>
      </c>
      <c r="B4" s="173">
        <v>332108000</v>
      </c>
      <c r="C4" s="245">
        <v>582584000</v>
      </c>
      <c r="D4" s="175" cm="1">
        <f t="array" ref="D4">AVERAGE(B4:C4/$B$8:$C$8)</f>
        <v>1.3104946637129321E-2</v>
      </c>
      <c r="E4" s="273"/>
      <c r="F4" s="273"/>
      <c r="G4" s="169" t="s">
        <v>190</v>
      </c>
      <c r="H4" s="245">
        <f>'Historical Balance Sheets'!B61</f>
        <v>1079437000</v>
      </c>
      <c r="I4" s="166">
        <f>'Historical Balance Sheets'!C61</f>
        <v>1463748000</v>
      </c>
      <c r="J4" s="248" cm="1">
        <f t="array" ref="J4">AVERAGE(H4:I4/$H$5:$I$5)</f>
        <v>6.8153279713852544E-2</v>
      </c>
      <c r="K4" s="168" cm="1">
        <f t="array" ref="K4">AVERAGE(H4:I4/'Historical Income Statements'!$B$4:$C$4)</f>
        <v>3.62751405214638E-2</v>
      </c>
    </row>
    <row r="5" spans="1:11" ht="15.6" x14ac:dyDescent="0.3">
      <c r="A5" s="169" t="s">
        <v>191</v>
      </c>
      <c r="B5" s="173">
        <v>322688000</v>
      </c>
      <c r="C5" s="245">
        <v>433921000</v>
      </c>
      <c r="D5" s="175" cm="1">
        <f t="array" ref="D5">AVERAGE(B5:C5/$B$8:$C$8)</f>
        <v>1.0790413047992449E-2</v>
      </c>
      <c r="E5" s="273"/>
      <c r="F5" s="273"/>
      <c r="G5" s="176" t="s">
        <v>192</v>
      </c>
      <c r="H5" s="246">
        <f>'Historical Income Statements'!B27</f>
        <v>19019851000</v>
      </c>
      <c r="I5" s="178">
        <f>'Historical Income Statements'!C27</f>
        <v>18399570000</v>
      </c>
      <c r="J5" s="225">
        <f>SUM(J3:J4)</f>
        <v>1</v>
      </c>
      <c r="K5" s="179" cm="1">
        <f t="array" ref="K5">AVERAGE(H5:I5/'Historical Income Statements'!$B$4:$C$4)</f>
        <v>0.53049115184725681</v>
      </c>
    </row>
    <row r="6" spans="1:11" ht="15.6" x14ac:dyDescent="0.3">
      <c r="A6" s="169" t="s">
        <v>193</v>
      </c>
      <c r="B6" s="173">
        <v>236452000</v>
      </c>
      <c r="C6" s="245">
        <v>298852000</v>
      </c>
      <c r="D6" s="175" cm="1">
        <f t="array" ref="D6">AVERAGE(B6:C6/$B$8:$C$8)</f>
        <v>7.6258285514061268E-3</v>
      </c>
      <c r="E6" s="273"/>
      <c r="F6" s="273"/>
      <c r="G6" s="273"/>
      <c r="H6" s="273"/>
      <c r="I6" s="273"/>
      <c r="J6" s="273"/>
      <c r="K6" s="273"/>
    </row>
    <row r="7" spans="1:11" ht="15.6" x14ac:dyDescent="0.3">
      <c r="A7" s="169" t="s">
        <v>194</v>
      </c>
      <c r="B7" s="173">
        <v>235452000</v>
      </c>
      <c r="C7" s="245">
        <v>279543000</v>
      </c>
      <c r="D7" s="175" cm="1">
        <f t="array" ref="D7">AVERAGE(B7:C7/$B$8:$C$8)</f>
        <v>7.3282617649094283E-3</v>
      </c>
      <c r="E7" s="273"/>
      <c r="F7" s="273"/>
      <c r="G7" s="273"/>
      <c r="H7" s="273"/>
      <c r="I7" s="273"/>
      <c r="J7" s="273"/>
      <c r="K7" s="273"/>
    </row>
    <row r="8" spans="1:11" ht="15.6" x14ac:dyDescent="0.3">
      <c r="A8" s="176" t="s">
        <v>156</v>
      </c>
      <c r="B8" s="177">
        <f>'Historical Income Statements'!B4</f>
        <v>36581749000</v>
      </c>
      <c r="C8" s="246">
        <f>'Historical Income Statements'!C4</f>
        <v>34006840000</v>
      </c>
      <c r="D8" s="45">
        <f>SUM(D3:D7)</f>
        <v>1</v>
      </c>
      <c r="E8" s="273"/>
      <c r="F8" s="273"/>
      <c r="G8" s="273"/>
      <c r="H8" s="273"/>
      <c r="I8" s="273"/>
      <c r="J8" s="273"/>
      <c r="K8" s="273"/>
    </row>
  </sheetData>
  <mergeCells count="2">
    <mergeCell ref="G1:K1"/>
    <mergeCell ref="A1:D1"/>
  </mergeCell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11267" r:id="rId4" name="CommandButton3">
          <controlPr defaultSize="0" autoFill="0" autoLine="0" r:id="rId5">
            <anchor moveWithCells="1">
              <from>
                <xdr:col>0</xdr:col>
                <xdr:colOff>213360</xdr:colOff>
                <xdr:row>32</xdr:row>
                <xdr:rowOff>160020</xdr:rowOff>
              </from>
              <to>
                <xdr:col>2</xdr:col>
                <xdr:colOff>106680</xdr:colOff>
                <xdr:row>36</xdr:row>
                <xdr:rowOff>22860</xdr:rowOff>
              </to>
            </anchor>
          </controlPr>
        </control>
      </mc:Choice>
      <mc:Fallback>
        <control shapeId="11267" r:id="rId4" name="CommandButton3"/>
      </mc:Fallback>
    </mc:AlternateContent>
    <mc:AlternateContent xmlns:mc="http://schemas.openxmlformats.org/markup-compatibility/2006">
      <mc:Choice Requires="x14">
        <control shapeId="11266" r:id="rId6" name="CommandButton2">
          <controlPr defaultSize="0" autoFill="0" autoLine="0" r:id="rId7">
            <anchor moveWithCells="1">
              <from>
                <xdr:col>0</xdr:col>
                <xdr:colOff>60960</xdr:colOff>
                <xdr:row>32</xdr:row>
                <xdr:rowOff>7620</xdr:rowOff>
              </from>
              <to>
                <xdr:col>1</xdr:col>
                <xdr:colOff>1143000</xdr:colOff>
                <xdr:row>35</xdr:row>
                <xdr:rowOff>53340</xdr:rowOff>
              </to>
            </anchor>
          </controlPr>
        </control>
      </mc:Choice>
      <mc:Fallback>
        <control shapeId="11266" r:id="rId6" name="CommandButton2"/>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C00000"/>
  </sheetPr>
  <dimension ref="A1:AF337"/>
  <sheetViews>
    <sheetView zoomScale="81" zoomScaleNormal="92" workbookViewId="0">
      <selection activeCell="G27" sqref="G27"/>
    </sheetView>
  </sheetViews>
  <sheetFormatPr defaultColWidth="11" defaultRowHeight="13.8" x14ac:dyDescent="0.25"/>
  <cols>
    <col min="1" max="1" width="11.6640625" style="3" bestFit="1" customWidth="1"/>
    <col min="2" max="2" width="12.44140625" style="3" bestFit="1" customWidth="1"/>
    <col min="3" max="3" width="20.6640625" style="3" bestFit="1" customWidth="1"/>
    <col min="4" max="4" width="19.44140625" style="3" bestFit="1" customWidth="1"/>
    <col min="5" max="5" width="11.33203125" style="3" bestFit="1" customWidth="1"/>
    <col min="6" max="6" width="11" style="3"/>
    <col min="7" max="7" width="12.109375" style="3" bestFit="1" customWidth="1"/>
    <col min="8" max="8" width="20.5546875" style="3" hidden="1" customWidth="1"/>
    <col min="9" max="9" width="11.109375" style="3" hidden="1" customWidth="1"/>
    <col min="10" max="11" width="11" style="3"/>
    <col min="12" max="12" width="28.33203125" style="3" bestFit="1" customWidth="1"/>
    <col min="13" max="13" width="16.109375" style="3" bestFit="1" customWidth="1"/>
    <col min="14" max="14" width="18" style="3" bestFit="1" customWidth="1"/>
    <col min="15" max="15" width="14.33203125" style="3" bestFit="1" customWidth="1"/>
    <col min="16" max="16" width="14.109375" style="3" bestFit="1" customWidth="1"/>
    <col min="17" max="17" width="22.44140625" style="3" bestFit="1" customWidth="1"/>
    <col min="18" max="18" width="15" style="3" bestFit="1" customWidth="1"/>
    <col min="19" max="19" width="18" style="3" bestFit="1" customWidth="1"/>
    <col min="20" max="20" width="16" style="3" bestFit="1" customWidth="1"/>
    <col min="21" max="22" width="12" style="3" bestFit="1" customWidth="1"/>
    <col min="23" max="23" width="11.109375" style="3" bestFit="1" customWidth="1"/>
    <col min="24" max="24" width="16.5546875" style="3" hidden="1" customWidth="1"/>
    <col min="25" max="25" width="12.6640625" style="3" hidden="1" customWidth="1"/>
    <col min="26" max="26" width="13.6640625" style="3" hidden="1" customWidth="1"/>
    <col min="27" max="27" width="12.6640625" style="3" hidden="1" customWidth="1"/>
    <col min="28" max="28" width="12" style="3" hidden="1" customWidth="1"/>
    <col min="29" max="29" width="12.6640625" style="3" hidden="1" customWidth="1"/>
    <col min="30" max="30" width="12" style="3" hidden="1" customWidth="1"/>
    <col min="31" max="31" width="12.6640625" style="3" hidden="1" customWidth="1"/>
    <col min="32" max="32" width="12.109375" style="3" hidden="1" customWidth="1"/>
    <col min="33" max="16384" width="11" style="3"/>
  </cols>
  <sheetData>
    <row r="1" spans="1:29" ht="16.2" thickBot="1" x14ac:dyDescent="0.35">
      <c r="A1" s="357"/>
      <c r="B1" s="490" t="s">
        <v>217</v>
      </c>
      <c r="C1" s="492"/>
      <c r="D1" s="490" t="s">
        <v>218</v>
      </c>
      <c r="E1" s="492"/>
      <c r="F1" s="358"/>
      <c r="G1" s="359"/>
      <c r="H1" s="513" t="s">
        <v>219</v>
      </c>
      <c r="I1" s="513"/>
    </row>
    <row r="2" spans="1:29" ht="14.4" thickBot="1" x14ac:dyDescent="0.3">
      <c r="A2" s="276" t="s">
        <v>220</v>
      </c>
      <c r="B2" s="341" t="s">
        <v>221</v>
      </c>
      <c r="C2" s="342" t="s">
        <v>222</v>
      </c>
      <c r="D2" s="343" t="s">
        <v>221</v>
      </c>
      <c r="E2" s="342" t="s">
        <v>222</v>
      </c>
      <c r="F2" s="358"/>
      <c r="H2" s="3" t="s">
        <v>220</v>
      </c>
      <c r="I2" s="3" t="s">
        <v>223</v>
      </c>
      <c r="L2" s="514" t="s">
        <v>224</v>
      </c>
      <c r="M2" s="515"/>
      <c r="N2" s="360"/>
      <c r="O2" s="269"/>
      <c r="P2" s="269"/>
      <c r="Q2" s="269"/>
      <c r="X2" s="514" t="s">
        <v>224</v>
      </c>
      <c r="Y2" s="515"/>
      <c r="Z2" s="360"/>
      <c r="AA2" s="269"/>
      <c r="AB2" s="269"/>
      <c r="AC2" s="269"/>
    </row>
    <row r="3" spans="1:29" ht="16.2" thickBot="1" x14ac:dyDescent="0.35">
      <c r="A3" s="275">
        <v>44283</v>
      </c>
      <c r="B3" s="277">
        <v>44369</v>
      </c>
      <c r="C3" s="279">
        <f>LN(B3/B4)</f>
        <v>-2.5646570226714283E-2</v>
      </c>
      <c r="D3" s="277">
        <v>157.4</v>
      </c>
      <c r="E3" s="279">
        <f>LN(D3/D4)</f>
        <v>8.9343287337657739E-3</v>
      </c>
      <c r="F3" s="361"/>
      <c r="G3" s="362"/>
      <c r="H3" s="363">
        <v>42034</v>
      </c>
      <c r="I3" s="3">
        <v>6</v>
      </c>
      <c r="O3" s="269"/>
      <c r="P3" s="269"/>
      <c r="Q3" s="269"/>
      <c r="AA3" s="269"/>
      <c r="AB3" s="269"/>
      <c r="AC3" s="269"/>
    </row>
    <row r="4" spans="1:29" ht="15.6" x14ac:dyDescent="0.3">
      <c r="A4" s="275">
        <v>44276</v>
      </c>
      <c r="B4" s="278">
        <v>45521.63</v>
      </c>
      <c r="C4" s="274">
        <f t="shared" ref="C4:C67" si="0">LN(B4/B5)</f>
        <v>1.3720627343674276E-2</v>
      </c>
      <c r="D4" s="278">
        <v>156</v>
      </c>
      <c r="E4" s="274">
        <f t="shared" ref="E4:E67" si="1">LN(D4/D5)</f>
        <v>-1.4130462343713275E-2</v>
      </c>
      <c r="F4" s="358"/>
      <c r="G4" s="358"/>
      <c r="H4" s="363">
        <v>42041</v>
      </c>
      <c r="I4" s="3">
        <v>6</v>
      </c>
      <c r="L4" s="516" t="s">
        <v>225</v>
      </c>
      <c r="M4" s="516"/>
      <c r="O4" s="269"/>
      <c r="P4" s="269"/>
      <c r="Q4" s="269"/>
      <c r="X4" s="516" t="s">
        <v>225</v>
      </c>
      <c r="Y4" s="516"/>
      <c r="AA4" s="269"/>
      <c r="AB4" s="269"/>
      <c r="AC4" s="269"/>
    </row>
    <row r="5" spans="1:29" ht="15.6" x14ac:dyDescent="0.3">
      <c r="A5" s="275">
        <v>44269</v>
      </c>
      <c r="B5" s="278">
        <v>44901.31</v>
      </c>
      <c r="C5" s="274">
        <f t="shared" si="0"/>
        <v>2.5105336043942876E-2</v>
      </c>
      <c r="D5" s="278">
        <v>158.22</v>
      </c>
      <c r="E5" s="274">
        <f t="shared" si="1"/>
        <v>4.0105948746973846E-2</v>
      </c>
      <c r="F5" s="358"/>
      <c r="G5" s="358"/>
      <c r="H5" s="363">
        <v>42048</v>
      </c>
      <c r="I5" s="3">
        <v>6</v>
      </c>
      <c r="L5" s="364" t="s">
        <v>226</v>
      </c>
      <c r="M5" s="365">
        <v>0.56956123970897166</v>
      </c>
      <c r="O5" s="269"/>
      <c r="P5" s="269"/>
      <c r="Q5" s="269"/>
      <c r="X5" s="364" t="s">
        <v>226</v>
      </c>
      <c r="Y5" s="365">
        <v>0.56068560435152426</v>
      </c>
      <c r="AA5" s="269"/>
      <c r="AB5" s="269"/>
      <c r="AC5" s="269"/>
    </row>
    <row r="6" spans="1:29" ht="15.6" x14ac:dyDescent="0.3">
      <c r="A6" s="275">
        <v>44262</v>
      </c>
      <c r="B6" s="278">
        <v>43788.08</v>
      </c>
      <c r="C6" s="274">
        <f t="shared" si="0"/>
        <v>-4.5737626737106914E-2</v>
      </c>
      <c r="D6" s="278">
        <v>152</v>
      </c>
      <c r="E6" s="274">
        <f t="shared" si="1"/>
        <v>-0.15232570730678865</v>
      </c>
      <c r="F6" s="358"/>
      <c r="G6" s="358"/>
      <c r="H6" s="363">
        <v>42055</v>
      </c>
      <c r="I6" s="3">
        <v>5.89</v>
      </c>
      <c r="L6" s="364" t="s">
        <v>227</v>
      </c>
      <c r="M6" s="366">
        <v>0.32440000577882061</v>
      </c>
      <c r="X6" s="364" t="s">
        <v>227</v>
      </c>
      <c r="Y6" s="366">
        <v>0.31436834692703403</v>
      </c>
    </row>
    <row r="7" spans="1:29" ht="15.6" x14ac:dyDescent="0.3">
      <c r="A7" s="275">
        <v>44255</v>
      </c>
      <c r="B7" s="278">
        <v>45837.35</v>
      </c>
      <c r="C7" s="274">
        <f t="shared" si="0"/>
        <v>-6.0347406156986119E-4</v>
      </c>
      <c r="D7" s="278">
        <v>177.01</v>
      </c>
      <c r="E7" s="274">
        <f t="shared" si="1"/>
        <v>-6.1389621425509194E-3</v>
      </c>
      <c r="F7" s="358"/>
      <c r="G7" s="358"/>
      <c r="H7" s="363">
        <v>42062</v>
      </c>
      <c r="I7" s="3">
        <v>5.89</v>
      </c>
      <c r="L7" s="364" t="s">
        <v>228</v>
      </c>
      <c r="M7" s="366">
        <v>0.31784078253395481</v>
      </c>
      <c r="X7" s="364" t="s">
        <v>228</v>
      </c>
      <c r="Y7" s="366">
        <v>0.31215663191712123</v>
      </c>
    </row>
    <row r="8" spans="1:29" ht="15.6" x14ac:dyDescent="0.3">
      <c r="A8" s="275">
        <v>44248</v>
      </c>
      <c r="B8" s="278">
        <v>45865.02</v>
      </c>
      <c r="C8" s="274">
        <f t="shared" si="0"/>
        <v>-7.8753688916643385E-3</v>
      </c>
      <c r="D8" s="278">
        <v>178.1</v>
      </c>
      <c r="E8" s="274">
        <f t="shared" si="1"/>
        <v>-3.801063478270892E-2</v>
      </c>
      <c r="F8" s="358"/>
      <c r="G8" s="358"/>
      <c r="H8" s="363">
        <v>42069</v>
      </c>
      <c r="I8" s="3">
        <v>5.89</v>
      </c>
      <c r="L8" s="364" t="s">
        <v>229</v>
      </c>
      <c r="M8" s="366">
        <v>4.9441532170247292E-2</v>
      </c>
      <c r="X8" s="364" t="s">
        <v>229</v>
      </c>
      <c r="Y8" s="366">
        <v>3.9834774477114664E-2</v>
      </c>
    </row>
    <row r="9" spans="1:29" ht="15.6" x14ac:dyDescent="0.3">
      <c r="A9" s="275">
        <v>44241</v>
      </c>
      <c r="B9" s="278">
        <v>46227.65</v>
      </c>
      <c r="C9" s="274">
        <f t="shared" si="0"/>
        <v>9.1114967013895508E-3</v>
      </c>
      <c r="D9" s="278">
        <v>185</v>
      </c>
      <c r="E9" s="274">
        <f t="shared" si="1"/>
        <v>-6.6803394647482707E-3</v>
      </c>
      <c r="F9" s="358"/>
      <c r="G9" s="358"/>
      <c r="H9" s="363">
        <v>42076</v>
      </c>
      <c r="I9" s="3">
        <v>5.89</v>
      </c>
      <c r="L9" s="364" t="s">
        <v>230</v>
      </c>
      <c r="M9" s="367">
        <v>105</v>
      </c>
      <c r="X9" s="364" t="s">
        <v>230</v>
      </c>
      <c r="Y9" s="367">
        <v>312</v>
      </c>
    </row>
    <row r="10" spans="1:29" ht="15.6" x14ac:dyDescent="0.3">
      <c r="A10" s="275">
        <v>44234</v>
      </c>
      <c r="B10" s="278">
        <v>45808.36</v>
      </c>
      <c r="C10" s="274">
        <f t="shared" si="0"/>
        <v>-2.3674514776023434E-2</v>
      </c>
      <c r="D10" s="278">
        <v>186.24</v>
      </c>
      <c r="E10" s="274">
        <f t="shared" si="1"/>
        <v>-2.2616030023682621E-2</v>
      </c>
      <c r="F10" s="358"/>
      <c r="G10" s="358"/>
      <c r="H10" s="363">
        <v>42083</v>
      </c>
      <c r="I10" s="3">
        <v>5.82</v>
      </c>
    </row>
    <row r="11" spans="1:29" ht="15.6" x14ac:dyDescent="0.3">
      <c r="A11" s="275">
        <v>44227</v>
      </c>
      <c r="B11" s="278">
        <v>46905.79</v>
      </c>
      <c r="C11" s="274">
        <f t="shared" si="0"/>
        <v>1.115334925819462E-2</v>
      </c>
      <c r="D11" s="278">
        <v>190.5</v>
      </c>
      <c r="E11" s="274">
        <f t="shared" si="1"/>
        <v>2.3905520853554386E-2</v>
      </c>
      <c r="F11" s="358"/>
      <c r="G11" s="358"/>
      <c r="H11" s="363">
        <v>42090</v>
      </c>
      <c r="I11" s="3">
        <v>5.82</v>
      </c>
      <c r="L11" s="517" t="s">
        <v>231</v>
      </c>
      <c r="M11" s="517"/>
      <c r="X11" s="517" t="s">
        <v>231</v>
      </c>
      <c r="Y11" s="517"/>
    </row>
    <row r="12" spans="1:29" ht="15.6" x14ac:dyDescent="0.3">
      <c r="A12" s="275">
        <v>44220</v>
      </c>
      <c r="B12" s="278">
        <v>46385.54</v>
      </c>
      <c r="C12" s="274">
        <f t="shared" si="0"/>
        <v>1.1219194488633987E-2</v>
      </c>
      <c r="D12" s="278">
        <v>186</v>
      </c>
      <c r="E12" s="274">
        <f t="shared" si="1"/>
        <v>2.691791665711353E-3</v>
      </c>
      <c r="F12" s="358"/>
      <c r="G12" s="358"/>
      <c r="H12" s="363">
        <v>42097</v>
      </c>
      <c r="I12" s="3">
        <v>5.82</v>
      </c>
      <c r="L12" s="368"/>
      <c r="M12" s="368" t="s">
        <v>232</v>
      </c>
      <c r="N12" s="368" t="s">
        <v>233</v>
      </c>
      <c r="O12" s="368" t="s">
        <v>234</v>
      </c>
      <c r="P12" s="369" t="s">
        <v>235</v>
      </c>
      <c r="Q12" s="368" t="s">
        <v>236</v>
      </c>
      <c r="X12" s="368"/>
      <c r="Y12" s="368" t="s">
        <v>232</v>
      </c>
      <c r="Z12" s="368" t="s">
        <v>233</v>
      </c>
      <c r="AA12" s="368" t="s">
        <v>234</v>
      </c>
      <c r="AB12" s="369" t="s">
        <v>235</v>
      </c>
      <c r="AC12" s="368" t="s">
        <v>236</v>
      </c>
    </row>
    <row r="13" spans="1:29" ht="15.6" x14ac:dyDescent="0.3">
      <c r="A13" s="275">
        <v>44213</v>
      </c>
      <c r="B13" s="278">
        <v>45868.04</v>
      </c>
      <c r="C13" s="274">
        <f t="shared" si="0"/>
        <v>-1.3716921194777141E-3</v>
      </c>
      <c r="D13" s="278">
        <v>185.5</v>
      </c>
      <c r="E13" s="274">
        <f t="shared" si="1"/>
        <v>-1.8692133012152522E-2</v>
      </c>
      <c r="F13" s="358"/>
      <c r="H13" s="363">
        <v>42104</v>
      </c>
      <c r="I13" s="3">
        <v>5.82</v>
      </c>
      <c r="L13" s="364" t="s">
        <v>237</v>
      </c>
      <c r="M13" s="365">
        <v>1</v>
      </c>
      <c r="N13" s="365">
        <v>0.12089609760894204</v>
      </c>
      <c r="O13" s="365">
        <v>0.12089609760894204</v>
      </c>
      <c r="P13" s="365">
        <v>49.457076496480312</v>
      </c>
      <c r="Q13" s="370">
        <v>2.2893495787879861E-10</v>
      </c>
      <c r="X13" s="364" t="s">
        <v>237</v>
      </c>
      <c r="Y13" s="365">
        <v>1</v>
      </c>
      <c r="Z13" s="365">
        <v>0.22554560645373695</v>
      </c>
      <c r="AA13" s="365">
        <v>0.22554560645373695</v>
      </c>
      <c r="AB13" s="365">
        <v>142.13781862403212</v>
      </c>
      <c r="AC13" s="370">
        <v>3.1498351148582087E-27</v>
      </c>
    </row>
    <row r="14" spans="1:29" ht="15.6" x14ac:dyDescent="0.3">
      <c r="A14" s="275">
        <v>44206</v>
      </c>
      <c r="B14" s="278">
        <v>45931</v>
      </c>
      <c r="C14" s="274">
        <f t="shared" si="0"/>
        <v>6.0415966469636352E-3</v>
      </c>
      <c r="D14" s="278">
        <v>189</v>
      </c>
      <c r="E14" s="274">
        <f t="shared" si="1"/>
        <v>-5.1717884023939559E-3</v>
      </c>
      <c r="F14" s="358"/>
      <c r="G14" s="373"/>
      <c r="H14" s="363">
        <v>42111</v>
      </c>
      <c r="I14" s="3">
        <v>5.9</v>
      </c>
      <c r="L14" s="364" t="s">
        <v>238</v>
      </c>
      <c r="M14" s="366">
        <v>103</v>
      </c>
      <c r="N14" s="366">
        <v>0.25177990564418457</v>
      </c>
      <c r="O14" s="366">
        <v>2.4444651033415977E-3</v>
      </c>
      <c r="P14" s="366"/>
      <c r="Q14" s="371"/>
      <c r="X14" s="364" t="s">
        <v>238</v>
      </c>
      <c r="Y14" s="366">
        <v>310</v>
      </c>
      <c r="Z14" s="366">
        <v>0.49191086986920168</v>
      </c>
      <c r="AA14" s="366">
        <v>1.5868092576425861E-3</v>
      </c>
      <c r="AB14" s="366"/>
      <c r="AC14" s="371"/>
    </row>
    <row r="15" spans="1:29" ht="15.6" x14ac:dyDescent="0.3">
      <c r="A15" s="275">
        <v>44199</v>
      </c>
      <c r="B15" s="278">
        <v>45654.34</v>
      </c>
      <c r="C15" s="274">
        <f t="shared" si="0"/>
        <v>2.70757274920083E-2</v>
      </c>
      <c r="D15" s="278">
        <v>189.98</v>
      </c>
      <c r="E15" s="274">
        <f t="shared" si="1"/>
        <v>-5.3546245845935096E-3</v>
      </c>
      <c r="F15" s="358"/>
      <c r="G15" s="358"/>
      <c r="H15" s="363">
        <v>42118</v>
      </c>
      <c r="I15" s="3">
        <v>5.9</v>
      </c>
      <c r="L15" s="364" t="s">
        <v>167</v>
      </c>
      <c r="M15" s="367">
        <v>104</v>
      </c>
      <c r="N15" s="367">
        <v>0.37267600325312661</v>
      </c>
      <c r="O15" s="367"/>
      <c r="P15" s="367"/>
      <c r="Q15" s="372"/>
      <c r="X15" s="364" t="s">
        <v>167</v>
      </c>
      <c r="Y15" s="367">
        <v>311</v>
      </c>
      <c r="Z15" s="367">
        <v>0.71745647632293863</v>
      </c>
      <c r="AA15" s="367"/>
      <c r="AB15" s="367"/>
      <c r="AC15" s="372"/>
    </row>
    <row r="16" spans="1:29" ht="15.6" x14ac:dyDescent="0.3">
      <c r="A16" s="275">
        <v>44192</v>
      </c>
      <c r="B16" s="278">
        <v>44434.8</v>
      </c>
      <c r="C16" s="274">
        <f t="shared" si="0"/>
        <v>2.317717422293411E-2</v>
      </c>
      <c r="D16" s="278">
        <v>191</v>
      </c>
      <c r="E16" s="274">
        <f t="shared" si="1"/>
        <v>2.1164811192043331E-2</v>
      </c>
      <c r="F16" s="358"/>
      <c r="G16" s="358"/>
      <c r="H16" s="363">
        <v>42125</v>
      </c>
      <c r="I16" s="3">
        <v>5.9</v>
      </c>
    </row>
    <row r="17" spans="1:32" ht="15.6" x14ac:dyDescent="0.3">
      <c r="A17" s="275">
        <v>44185</v>
      </c>
      <c r="B17" s="278">
        <v>43416.77</v>
      </c>
      <c r="C17" s="274">
        <f t="shared" si="0"/>
        <v>-7.4298174713417885E-3</v>
      </c>
      <c r="D17" s="278">
        <v>187</v>
      </c>
      <c r="E17" s="274">
        <f t="shared" si="1"/>
        <v>-5.3819512574433979E-2</v>
      </c>
      <c r="F17" s="358"/>
      <c r="G17" s="358"/>
      <c r="H17" s="363">
        <v>42132</v>
      </c>
      <c r="I17" s="3">
        <v>5.9</v>
      </c>
      <c r="L17" s="368"/>
      <c r="M17" s="368" t="s">
        <v>239</v>
      </c>
      <c r="N17" s="369" t="s">
        <v>229</v>
      </c>
      <c r="O17" s="369" t="s">
        <v>240</v>
      </c>
      <c r="P17" s="368" t="s">
        <v>241</v>
      </c>
      <c r="Q17" s="368" t="s">
        <v>242</v>
      </c>
      <c r="R17" s="368" t="s">
        <v>243</v>
      </c>
      <c r="S17" s="368" t="s">
        <v>244</v>
      </c>
      <c r="T17" s="369" t="s">
        <v>245</v>
      </c>
      <c r="X17" s="368"/>
      <c r="Y17" s="368" t="s">
        <v>239</v>
      </c>
      <c r="Z17" s="369" t="s">
        <v>229</v>
      </c>
      <c r="AA17" s="369" t="s">
        <v>240</v>
      </c>
      <c r="AB17" s="368" t="s">
        <v>241</v>
      </c>
      <c r="AC17" s="368" t="s">
        <v>242</v>
      </c>
      <c r="AD17" s="368" t="s">
        <v>243</v>
      </c>
      <c r="AE17" s="368" t="s">
        <v>244</v>
      </c>
      <c r="AF17" s="369" t="s">
        <v>245</v>
      </c>
    </row>
    <row r="18" spans="1:32" ht="16.2" thickBot="1" x14ac:dyDescent="0.35">
      <c r="A18" s="275">
        <v>44178</v>
      </c>
      <c r="B18" s="278">
        <v>43740.55</v>
      </c>
      <c r="C18" s="274">
        <f t="shared" si="0"/>
        <v>2.9468462236574563E-2</v>
      </c>
      <c r="D18" s="278">
        <v>197.34</v>
      </c>
      <c r="E18" s="274">
        <f t="shared" si="1"/>
        <v>5.8912674636388988E-2</v>
      </c>
      <c r="F18" s="358"/>
      <c r="G18" s="373"/>
      <c r="H18" s="363">
        <v>42139</v>
      </c>
      <c r="I18" s="3">
        <v>5.9</v>
      </c>
      <c r="L18" s="364" t="s">
        <v>246</v>
      </c>
      <c r="M18" s="365">
        <v>-4.3609505697665371E-4</v>
      </c>
      <c r="N18" s="365">
        <v>4.8284499504981518E-3</v>
      </c>
      <c r="O18" s="370">
        <v>-9.0317816576241355E-2</v>
      </c>
      <c r="P18" s="370">
        <v>0.92821006526065197</v>
      </c>
      <c r="Q18" s="365">
        <v>-1.0012186718632828E-2</v>
      </c>
      <c r="R18" s="365">
        <v>9.1399966046795209E-3</v>
      </c>
      <c r="S18" s="365">
        <v>-1.0012186718632828E-2</v>
      </c>
      <c r="T18" s="370">
        <v>9.1399966046795209E-3</v>
      </c>
      <c r="X18" s="364" t="s">
        <v>246</v>
      </c>
      <c r="Y18" s="365">
        <v>-1.2747827252350661E-3</v>
      </c>
      <c r="Z18" s="365">
        <v>2.2567598575279108E-3</v>
      </c>
      <c r="AA18" s="370">
        <v>-0.56487300630714099</v>
      </c>
      <c r="AB18" s="370">
        <v>0.57256867347003948</v>
      </c>
      <c r="AC18" s="365">
        <v>-5.7152870711290908E-3</v>
      </c>
      <c r="AD18" s="365">
        <v>3.1657216206589589E-3</v>
      </c>
      <c r="AE18" s="365">
        <v>-5.7152870711290908E-3</v>
      </c>
      <c r="AF18" s="370">
        <v>3.1657216206589589E-3</v>
      </c>
    </row>
    <row r="19" spans="1:32" ht="16.2" thickBot="1" x14ac:dyDescent="0.35">
      <c r="A19" s="275">
        <v>44171</v>
      </c>
      <c r="B19" s="278">
        <v>42470.39</v>
      </c>
      <c r="C19" s="274">
        <f t="shared" si="0"/>
        <v>6.2210431725032659E-3</v>
      </c>
      <c r="D19" s="278">
        <v>186.05</v>
      </c>
      <c r="E19" s="274">
        <f t="shared" si="1"/>
        <v>2.4759801087726161E-2</v>
      </c>
      <c r="F19" s="358"/>
      <c r="G19" s="373"/>
      <c r="H19" s="363">
        <v>42146</v>
      </c>
      <c r="I19" s="3">
        <v>5.9</v>
      </c>
      <c r="L19" s="364" t="s">
        <v>247</v>
      </c>
      <c r="M19" s="374">
        <v>0.97649242665609748</v>
      </c>
      <c r="N19" s="372">
        <v>0.13885280548994972</v>
      </c>
      <c r="O19" s="372">
        <v>7.0325725375910881</v>
      </c>
      <c r="P19" s="372">
        <v>2.2893495787879701E-10</v>
      </c>
      <c r="Q19" s="367">
        <v>0.70111063612667668</v>
      </c>
      <c r="R19" s="367">
        <v>1.2518742171855184</v>
      </c>
      <c r="S19" s="367">
        <v>0.70111063612667668</v>
      </c>
      <c r="T19" s="372">
        <v>1.2518742171855184</v>
      </c>
      <c r="X19" s="364" t="s">
        <v>247</v>
      </c>
      <c r="Y19" s="374">
        <v>0.98783673492747914</v>
      </c>
      <c r="Z19" s="372">
        <v>8.2857218361095455E-2</v>
      </c>
      <c r="AA19" s="372">
        <v>11.922156626383988</v>
      </c>
      <c r="AB19" s="372">
        <v>3.1498351148587952E-27</v>
      </c>
      <c r="AC19" s="367">
        <v>0.82480306654941415</v>
      </c>
      <c r="AD19" s="367">
        <v>1.1508704033055441</v>
      </c>
      <c r="AE19" s="367">
        <v>0.82480306654941415</v>
      </c>
      <c r="AF19" s="372">
        <v>1.1508704033055441</v>
      </c>
    </row>
    <row r="20" spans="1:32" ht="15.6" x14ac:dyDescent="0.3">
      <c r="A20" s="275">
        <v>44164</v>
      </c>
      <c r="B20" s="278">
        <v>42207</v>
      </c>
      <c r="C20" s="274">
        <f t="shared" si="0"/>
        <v>3.373024324030726E-2</v>
      </c>
      <c r="D20" s="278">
        <v>181.5</v>
      </c>
      <c r="E20" s="274">
        <f t="shared" si="1"/>
        <v>8.3543599135177168E-3</v>
      </c>
      <c r="F20" s="358"/>
      <c r="G20" s="358"/>
      <c r="H20" s="363">
        <v>42153</v>
      </c>
      <c r="I20" s="3">
        <v>5.9</v>
      </c>
    </row>
    <row r="21" spans="1:32" ht="15.6" x14ac:dyDescent="0.3">
      <c r="A21" s="275">
        <v>44157</v>
      </c>
      <c r="B21" s="278">
        <v>40807.089999999997</v>
      </c>
      <c r="C21" s="274">
        <f t="shared" si="0"/>
        <v>1.5307801531703991E-2</v>
      </c>
      <c r="D21" s="278">
        <v>179.99</v>
      </c>
      <c r="E21" s="274">
        <f t="shared" si="1"/>
        <v>-2.8294839815478068E-3</v>
      </c>
      <c r="F21" s="358"/>
      <c r="G21" s="358"/>
      <c r="H21" s="363">
        <v>42160</v>
      </c>
      <c r="I21" s="3">
        <v>5.9</v>
      </c>
    </row>
    <row r="22" spans="1:32" ht="16.2" thickBot="1" x14ac:dyDescent="0.35">
      <c r="A22" s="275">
        <v>44150</v>
      </c>
      <c r="B22" s="278">
        <v>40187.18</v>
      </c>
      <c r="C22" s="274">
        <f t="shared" si="0"/>
        <v>-9.4648161079278065E-3</v>
      </c>
      <c r="D22" s="278">
        <v>180.5</v>
      </c>
      <c r="E22" s="274">
        <f t="shared" si="1"/>
        <v>-3.0976902743586922E-3</v>
      </c>
      <c r="F22" s="358"/>
      <c r="G22" s="358"/>
      <c r="H22" s="363">
        <v>42167</v>
      </c>
      <c r="I22" s="3">
        <v>5.9</v>
      </c>
    </row>
    <row r="23" spans="1:32" ht="15.6" x14ac:dyDescent="0.3">
      <c r="A23" s="275">
        <v>44143</v>
      </c>
      <c r="B23" s="278">
        <v>40569.35</v>
      </c>
      <c r="C23" s="274">
        <f t="shared" si="0"/>
        <v>-3.9915940829793875E-3</v>
      </c>
      <c r="D23" s="278">
        <v>181.06</v>
      </c>
      <c r="E23" s="274">
        <f t="shared" si="1"/>
        <v>4.55368735495153E-2</v>
      </c>
      <c r="F23" s="358"/>
      <c r="G23" s="358"/>
      <c r="H23" s="363">
        <v>42174</v>
      </c>
      <c r="I23" s="3">
        <v>5.9</v>
      </c>
      <c r="L23" s="473" t="s">
        <v>248</v>
      </c>
      <c r="M23" s="475"/>
      <c r="P23" s="375"/>
    </row>
    <row r="24" spans="1:32" ht="15.6" x14ac:dyDescent="0.3">
      <c r="A24" s="275">
        <v>44136</v>
      </c>
      <c r="B24" s="278">
        <v>40731.61</v>
      </c>
      <c r="C24" s="274">
        <f t="shared" si="0"/>
        <v>2.0928922700879895E-2</v>
      </c>
      <c r="D24" s="278">
        <v>173</v>
      </c>
      <c r="E24" s="274">
        <f t="shared" si="1"/>
        <v>4.7346120597198421E-2</v>
      </c>
      <c r="F24" s="358"/>
      <c r="G24" s="358"/>
      <c r="H24" s="363">
        <v>42181</v>
      </c>
      <c r="I24" s="3">
        <v>5.9</v>
      </c>
      <c r="L24" s="61" t="s">
        <v>249</v>
      </c>
      <c r="M24" s="376">
        <f>C316</f>
        <v>1.3143936078522003E-3</v>
      </c>
      <c r="P24" s="377"/>
    </row>
    <row r="25" spans="1:32" ht="15.6" x14ac:dyDescent="0.3">
      <c r="A25" s="275">
        <v>44129</v>
      </c>
      <c r="B25" s="278">
        <v>39888</v>
      </c>
      <c r="C25" s="274">
        <f t="shared" si="0"/>
        <v>-3.3963389581836152E-2</v>
      </c>
      <c r="D25" s="278">
        <v>165</v>
      </c>
      <c r="E25" s="274">
        <f t="shared" si="1"/>
        <v>-5.4832478625394705E-2</v>
      </c>
      <c r="F25" s="358"/>
      <c r="G25" s="358"/>
      <c r="H25" s="363">
        <v>42188</v>
      </c>
      <c r="I25" s="3">
        <v>5.9</v>
      </c>
      <c r="L25" s="61" t="s">
        <v>250</v>
      </c>
      <c r="M25" s="378">
        <f>E316</f>
        <v>8.4740034673620431E-4</v>
      </c>
    </row>
    <row r="26" spans="1:32" ht="15.6" x14ac:dyDescent="0.3">
      <c r="A26" s="275">
        <v>44122</v>
      </c>
      <c r="B26" s="278">
        <v>41266</v>
      </c>
      <c r="C26" s="274">
        <f t="shared" si="0"/>
        <v>2.7067346387601717E-2</v>
      </c>
      <c r="D26" s="278">
        <v>174.3</v>
      </c>
      <c r="E26" s="274">
        <f t="shared" si="1"/>
        <v>2.8727396946835473E-3</v>
      </c>
      <c r="F26" s="358"/>
      <c r="G26" s="358"/>
      <c r="H26" s="363">
        <v>42195</v>
      </c>
      <c r="I26" s="3">
        <v>5.94</v>
      </c>
      <c r="L26" s="61" t="s">
        <v>251</v>
      </c>
      <c r="M26" s="379">
        <f>((1+M24)^52)-1</f>
        <v>7.0690308445737093E-2</v>
      </c>
    </row>
    <row r="27" spans="1:32" ht="15.6" x14ac:dyDescent="0.3">
      <c r="A27" s="275">
        <v>44115</v>
      </c>
      <c r="B27" s="278">
        <v>40164.019999999997</v>
      </c>
      <c r="C27" s="274">
        <f t="shared" si="0"/>
        <v>-1.5672030302133381E-2</v>
      </c>
      <c r="D27" s="278">
        <v>173.8</v>
      </c>
      <c r="E27" s="274">
        <f t="shared" si="1"/>
        <v>5.7553958423243968E-4</v>
      </c>
      <c r="F27" s="358"/>
      <c r="G27" s="358"/>
      <c r="H27" s="363">
        <v>42202</v>
      </c>
      <c r="I27" s="3">
        <v>5.94</v>
      </c>
      <c r="L27" s="61" t="s">
        <v>252</v>
      </c>
      <c r="M27" s="379">
        <f>((1+M25)^52)-1</f>
        <v>4.5030590610713794E-2</v>
      </c>
      <c r="N27" s="377"/>
    </row>
    <row r="28" spans="1:32" ht="15.6" x14ac:dyDescent="0.3">
      <c r="A28" s="275">
        <v>44108</v>
      </c>
      <c r="B28" s="278">
        <v>40798.43</v>
      </c>
      <c r="C28" s="274">
        <f t="shared" si="0"/>
        <v>1.7994962093107619E-2</v>
      </c>
      <c r="D28" s="278">
        <v>173.7</v>
      </c>
      <c r="E28" s="274">
        <f t="shared" si="1"/>
        <v>-4.9968294913808907E-2</v>
      </c>
      <c r="F28" s="358"/>
      <c r="G28" s="358"/>
      <c r="H28" s="363">
        <v>42209</v>
      </c>
      <c r="I28" s="3">
        <v>5.94</v>
      </c>
      <c r="L28" s="61" t="s">
        <v>253</v>
      </c>
      <c r="M28" s="380">
        <v>7.3999999999999996E-2</v>
      </c>
    </row>
    <row r="29" spans="1:32" ht="15.6" x14ac:dyDescent="0.3">
      <c r="A29" s="275">
        <v>44101</v>
      </c>
      <c r="B29" s="278">
        <v>40070.83</v>
      </c>
      <c r="C29" s="274">
        <f t="shared" si="0"/>
        <v>-3.9881986588160862E-2</v>
      </c>
      <c r="D29" s="278">
        <v>182.6</v>
      </c>
      <c r="E29" s="274">
        <f t="shared" si="1"/>
        <v>-2.0788890905210334E-3</v>
      </c>
      <c r="F29" s="358"/>
      <c r="G29" s="358"/>
      <c r="H29" s="363">
        <v>42216</v>
      </c>
      <c r="I29" s="3">
        <v>5.94</v>
      </c>
      <c r="L29" s="61" t="s">
        <v>254</v>
      </c>
      <c r="M29" s="219">
        <f>M19</f>
        <v>0.97649242665609748</v>
      </c>
      <c r="N29" s="373"/>
    </row>
    <row r="30" spans="1:32" ht="16.2" thickBot="1" x14ac:dyDescent="0.35">
      <c r="A30" s="275">
        <v>44094</v>
      </c>
      <c r="B30" s="278">
        <v>41701.230000000003</v>
      </c>
      <c r="C30" s="274">
        <f t="shared" si="0"/>
        <v>-1.9085444886216229E-2</v>
      </c>
      <c r="D30" s="278">
        <v>182.98</v>
      </c>
      <c r="E30" s="274">
        <f t="shared" si="1"/>
        <v>-1.6393890580170581E-4</v>
      </c>
      <c r="F30" s="358"/>
      <c r="G30" s="358"/>
      <c r="H30" s="363">
        <v>42223</v>
      </c>
      <c r="I30" s="3">
        <v>5.98</v>
      </c>
      <c r="L30" s="286" t="s">
        <v>303</v>
      </c>
      <c r="M30" s="381">
        <f>M26-M28</f>
        <v>-3.309691554262903E-3</v>
      </c>
    </row>
    <row r="31" spans="1:32" ht="16.2" thickBot="1" x14ac:dyDescent="0.35">
      <c r="A31" s="275">
        <v>44087</v>
      </c>
      <c r="B31" s="278">
        <v>42504.76</v>
      </c>
      <c r="C31" s="274">
        <f t="shared" si="0"/>
        <v>-6.0939306832041948E-4</v>
      </c>
      <c r="D31" s="278">
        <v>183.01</v>
      </c>
      <c r="E31" s="274">
        <f t="shared" si="1"/>
        <v>1.6583945266980423E-2</v>
      </c>
      <c r="F31" s="358"/>
      <c r="G31" s="358"/>
      <c r="H31" s="363">
        <v>42230</v>
      </c>
      <c r="I31" s="3">
        <v>5.98</v>
      </c>
      <c r="L31" s="287" t="s">
        <v>255</v>
      </c>
      <c r="M31" s="288">
        <f>M28+M29*(M30)</f>
        <v>7.0768111262694625E-2</v>
      </c>
    </row>
    <row r="32" spans="1:32" ht="15.6" x14ac:dyDescent="0.3">
      <c r="A32" s="275">
        <v>44080</v>
      </c>
      <c r="B32" s="278">
        <v>42530.67</v>
      </c>
      <c r="C32" s="274">
        <f t="shared" si="0"/>
        <v>1.2008375284764556E-2</v>
      </c>
      <c r="D32" s="278">
        <v>180</v>
      </c>
      <c r="E32" s="274">
        <f t="shared" si="1"/>
        <v>-1.9257816604414533E-2</v>
      </c>
      <c r="F32" s="358"/>
      <c r="G32" s="358"/>
      <c r="H32" s="363">
        <v>42237</v>
      </c>
      <c r="I32" s="3">
        <v>5.98</v>
      </c>
    </row>
    <row r="33" spans="1:14" ht="15.6" x14ac:dyDescent="0.3">
      <c r="A33" s="275">
        <v>44073</v>
      </c>
      <c r="B33" s="278">
        <v>42023</v>
      </c>
      <c r="C33" s="274">
        <f t="shared" si="0"/>
        <v>2.3274740488842014E-2</v>
      </c>
      <c r="D33" s="278">
        <v>183.5</v>
      </c>
      <c r="E33" s="274">
        <f t="shared" si="1"/>
        <v>7.3841440400521418E-3</v>
      </c>
      <c r="F33" s="358"/>
      <c r="G33" s="358"/>
      <c r="H33" s="363">
        <v>42244</v>
      </c>
      <c r="I33" s="3">
        <v>5.98</v>
      </c>
    </row>
    <row r="34" spans="1:14" ht="15.6" x14ac:dyDescent="0.3">
      <c r="A34" s="275">
        <v>44066</v>
      </c>
      <c r="B34" s="278">
        <v>41056.22</v>
      </c>
      <c r="C34" s="274">
        <f t="shared" si="0"/>
        <v>3.5568175241540621E-2</v>
      </c>
      <c r="D34" s="278">
        <v>182.15</v>
      </c>
      <c r="E34" s="274">
        <f t="shared" si="1"/>
        <v>3.3210809952493717E-2</v>
      </c>
      <c r="F34" s="358"/>
      <c r="G34" s="358"/>
      <c r="H34" s="363">
        <v>42251</v>
      </c>
      <c r="I34" s="3">
        <v>5.9</v>
      </c>
      <c r="N34" s="382"/>
    </row>
    <row r="35" spans="1:14" ht="15.6" x14ac:dyDescent="0.3">
      <c r="A35" s="275">
        <v>44059</v>
      </c>
      <c r="B35" s="278">
        <v>39621.589999999997</v>
      </c>
      <c r="C35" s="274">
        <f t="shared" si="0"/>
        <v>-1.6747494162981647E-2</v>
      </c>
      <c r="D35" s="278">
        <v>176.2</v>
      </c>
      <c r="E35" s="274">
        <f t="shared" si="1"/>
        <v>-2.3002416707192545E-2</v>
      </c>
      <c r="F35" s="358"/>
      <c r="G35" s="358"/>
      <c r="H35" s="363">
        <v>42258</v>
      </c>
      <c r="I35" s="3">
        <v>5.9</v>
      </c>
      <c r="N35" s="382"/>
    </row>
    <row r="36" spans="1:14" ht="15.6" x14ac:dyDescent="0.3">
      <c r="A36" s="275">
        <v>44052</v>
      </c>
      <c r="B36" s="278">
        <v>40290.74</v>
      </c>
      <c r="C36" s="274">
        <f t="shared" si="0"/>
        <v>6.5002370923548615E-3</v>
      </c>
      <c r="D36" s="278">
        <v>180.3</v>
      </c>
      <c r="E36" s="274">
        <f t="shared" si="1"/>
        <v>-2.0313627399713999E-2</v>
      </c>
      <c r="F36" s="358"/>
      <c r="G36" s="358"/>
      <c r="H36" s="363">
        <v>42265</v>
      </c>
      <c r="I36" s="3">
        <v>5.9</v>
      </c>
    </row>
    <row r="37" spans="1:14" ht="15.6" x14ac:dyDescent="0.3">
      <c r="A37" s="275">
        <v>44045</v>
      </c>
      <c r="B37" s="278">
        <v>40029.69</v>
      </c>
      <c r="C37" s="274">
        <f t="shared" si="0"/>
        <v>1.9454975823122403E-2</v>
      </c>
      <c r="D37" s="278">
        <v>184</v>
      </c>
      <c r="E37" s="274">
        <f t="shared" si="1"/>
        <v>-2.7075772727956356E-2</v>
      </c>
      <c r="F37" s="358"/>
      <c r="G37" s="358"/>
      <c r="H37" s="363">
        <v>42272</v>
      </c>
      <c r="I37" s="3">
        <v>5.9</v>
      </c>
    </row>
    <row r="38" spans="1:14" ht="15.6" x14ac:dyDescent="0.3">
      <c r="A38" s="275">
        <v>44038</v>
      </c>
      <c r="B38" s="278">
        <v>39258.44</v>
      </c>
      <c r="C38" s="274">
        <f t="shared" si="0"/>
        <v>4.2959763521877886E-2</v>
      </c>
      <c r="D38" s="278">
        <v>189.05</v>
      </c>
      <c r="E38" s="274">
        <f t="shared" si="1"/>
        <v>2.4362066856360127E-2</v>
      </c>
      <c r="F38" s="358"/>
      <c r="G38" s="358"/>
      <c r="H38" s="363">
        <v>42279</v>
      </c>
      <c r="I38" s="3">
        <v>5.99</v>
      </c>
    </row>
    <row r="39" spans="1:14" ht="15.6" x14ac:dyDescent="0.3">
      <c r="A39" s="275">
        <v>44031</v>
      </c>
      <c r="B39" s="278">
        <v>37607.620000000003</v>
      </c>
      <c r="C39" s="274">
        <f t="shared" si="0"/>
        <v>7.3866268802082746E-3</v>
      </c>
      <c r="D39" s="278">
        <v>184.5</v>
      </c>
      <c r="E39" s="274">
        <f t="shared" si="1"/>
        <v>-2.6792330098136811E-2</v>
      </c>
      <c r="F39" s="358"/>
      <c r="G39" s="358"/>
      <c r="H39" s="363">
        <v>42286</v>
      </c>
      <c r="I39" s="3">
        <v>5.99</v>
      </c>
    </row>
    <row r="40" spans="1:14" ht="15.6" x14ac:dyDescent="0.3">
      <c r="A40" s="275">
        <v>44024</v>
      </c>
      <c r="B40" s="278">
        <v>37330.85</v>
      </c>
      <c r="C40" s="274">
        <f t="shared" si="0"/>
        <v>3.1026172265851342E-2</v>
      </c>
      <c r="D40" s="278">
        <v>189.51</v>
      </c>
      <c r="E40" s="274">
        <f t="shared" si="1"/>
        <v>7.9998307487694729E-3</v>
      </c>
      <c r="F40" s="358"/>
      <c r="G40" s="358"/>
      <c r="H40" s="363">
        <v>42293</v>
      </c>
      <c r="I40" s="3">
        <v>5.99</v>
      </c>
    </row>
    <row r="41" spans="1:14" ht="15.6" x14ac:dyDescent="0.3">
      <c r="A41" s="275">
        <v>44017</v>
      </c>
      <c r="B41" s="278">
        <v>36190.400000000001</v>
      </c>
      <c r="C41" s="274">
        <f t="shared" si="0"/>
        <v>3.19789052608008E-2</v>
      </c>
      <c r="D41" s="278">
        <v>188</v>
      </c>
      <c r="E41" s="274">
        <f t="shared" si="1"/>
        <v>3.2435275753153955E-2</v>
      </c>
      <c r="F41" s="358"/>
      <c r="G41" s="358"/>
      <c r="H41" s="363">
        <v>42300</v>
      </c>
      <c r="I41" s="3">
        <v>5.99</v>
      </c>
    </row>
    <row r="42" spans="1:14" ht="15.6" x14ac:dyDescent="0.3">
      <c r="A42" s="275">
        <v>44010</v>
      </c>
      <c r="B42" s="278">
        <v>35051.379999999997</v>
      </c>
      <c r="C42" s="274">
        <f t="shared" si="0"/>
        <v>3.2235751854981634E-2</v>
      </c>
      <c r="D42" s="278">
        <v>182</v>
      </c>
      <c r="E42" s="274">
        <f t="shared" si="1"/>
        <v>4.4261970392698462E-2</v>
      </c>
      <c r="F42" s="358"/>
      <c r="G42" s="358"/>
      <c r="H42" s="363">
        <v>42307</v>
      </c>
      <c r="I42" s="3">
        <v>5.99</v>
      </c>
    </row>
    <row r="43" spans="1:14" ht="15.6" x14ac:dyDescent="0.3">
      <c r="A43" s="275">
        <v>44003</v>
      </c>
      <c r="B43" s="278">
        <v>33939.49</v>
      </c>
      <c r="C43" s="274">
        <f t="shared" si="0"/>
        <v>1.4858144026299883E-2</v>
      </c>
      <c r="D43" s="278">
        <v>174.12</v>
      </c>
      <c r="E43" s="274">
        <f t="shared" si="1"/>
        <v>-1.3576159689254694E-2</v>
      </c>
      <c r="F43" s="358"/>
      <c r="G43" s="358"/>
      <c r="H43" s="363">
        <v>42314</v>
      </c>
      <c r="I43" s="3">
        <v>5.99</v>
      </c>
    </row>
    <row r="44" spans="1:14" ht="15.6" x14ac:dyDescent="0.3">
      <c r="A44" s="275">
        <v>43996</v>
      </c>
      <c r="B44" s="278">
        <v>33438.94</v>
      </c>
      <c r="C44" s="274">
        <f t="shared" si="0"/>
        <v>-3.4395275173180966E-2</v>
      </c>
      <c r="D44" s="278">
        <v>176.5</v>
      </c>
      <c r="E44" s="274">
        <f t="shared" si="1"/>
        <v>-7.33844670645286E-3</v>
      </c>
      <c r="F44" s="358"/>
      <c r="G44" s="358"/>
      <c r="H44" s="363">
        <v>42321</v>
      </c>
      <c r="I44" s="3">
        <v>5.99</v>
      </c>
    </row>
    <row r="45" spans="1:14" ht="15.6" x14ac:dyDescent="0.3">
      <c r="A45" s="275">
        <v>43989</v>
      </c>
      <c r="B45" s="278">
        <v>34609.089999999997</v>
      </c>
      <c r="C45" s="274">
        <f t="shared" si="0"/>
        <v>7.5021186548343763E-3</v>
      </c>
      <c r="D45" s="278">
        <v>177.8</v>
      </c>
      <c r="E45" s="274">
        <f t="shared" si="1"/>
        <v>1.1254925217345582E-3</v>
      </c>
      <c r="F45" s="358"/>
      <c r="G45" s="358"/>
      <c r="H45" s="363">
        <v>42328</v>
      </c>
      <c r="I45" s="3">
        <v>5.99</v>
      </c>
    </row>
    <row r="46" spans="1:14" ht="15.6" x14ac:dyDescent="0.3">
      <c r="A46" s="275">
        <v>43982</v>
      </c>
      <c r="B46" s="278">
        <v>34350.42</v>
      </c>
      <c r="C46" s="274">
        <f t="shared" si="0"/>
        <v>1.2278416423544049E-2</v>
      </c>
      <c r="D46" s="278">
        <v>177.6</v>
      </c>
      <c r="E46" s="274">
        <f t="shared" si="1"/>
        <v>-1.0641377370263915E-2</v>
      </c>
      <c r="F46" s="358"/>
      <c r="G46" s="358"/>
      <c r="H46" s="363">
        <v>42335</v>
      </c>
      <c r="I46" s="3">
        <v>6.01</v>
      </c>
    </row>
    <row r="47" spans="1:14" ht="15.6" x14ac:dyDescent="0.3">
      <c r="A47" s="275">
        <v>43975</v>
      </c>
      <c r="B47" s="278">
        <v>33931.230000000003</v>
      </c>
      <c r="C47" s="274">
        <f t="shared" si="0"/>
        <v>2.7924768293234739E-3</v>
      </c>
      <c r="D47" s="278">
        <v>179.5</v>
      </c>
      <c r="E47" s="274">
        <f t="shared" si="1"/>
        <v>4.4426440024903702E-2</v>
      </c>
      <c r="F47" s="358"/>
      <c r="G47" s="358"/>
      <c r="H47" s="363">
        <v>42342</v>
      </c>
      <c r="I47" s="3">
        <v>6.01</v>
      </c>
    </row>
    <row r="48" spans="1:14" ht="15.6" x14ac:dyDescent="0.3">
      <c r="A48" s="275">
        <v>43968</v>
      </c>
      <c r="B48" s="278">
        <v>33836.61</v>
      </c>
      <c r="C48" s="274">
        <f t="shared" si="0"/>
        <v>-5.0621421935859758E-3</v>
      </c>
      <c r="D48" s="278">
        <v>171.7</v>
      </c>
      <c r="E48" s="274">
        <f t="shared" si="1"/>
        <v>1.5850052980356303E-2</v>
      </c>
      <c r="F48" s="358"/>
      <c r="G48" s="358"/>
      <c r="H48" s="363">
        <v>42349</v>
      </c>
      <c r="I48" s="3">
        <v>6.01</v>
      </c>
    </row>
    <row r="49" spans="1:14" ht="15.6" x14ac:dyDescent="0.3">
      <c r="A49" s="275">
        <v>43961</v>
      </c>
      <c r="B49" s="278">
        <v>34008.33</v>
      </c>
      <c r="C49" s="274">
        <f t="shared" si="0"/>
        <v>2.2018838909333666E-2</v>
      </c>
      <c r="D49" s="278">
        <v>169</v>
      </c>
      <c r="E49" s="274">
        <f t="shared" si="1"/>
        <v>0</v>
      </c>
      <c r="F49" s="358"/>
      <c r="G49" s="358"/>
      <c r="H49" s="363">
        <v>42356</v>
      </c>
      <c r="I49" s="3">
        <v>6.01</v>
      </c>
    </row>
    <row r="50" spans="1:14" ht="15.6" x14ac:dyDescent="0.3">
      <c r="A50" s="275">
        <v>43954</v>
      </c>
      <c r="B50" s="278">
        <v>33267.69</v>
      </c>
      <c r="C50" s="274">
        <f t="shared" si="0"/>
        <v>-2.5052019317542907E-2</v>
      </c>
      <c r="D50" s="278">
        <v>169</v>
      </c>
      <c r="E50" s="274">
        <f t="shared" si="1"/>
        <v>-3.4715815733454974E-2</v>
      </c>
      <c r="F50" s="358"/>
      <c r="G50" s="358"/>
      <c r="H50" s="363">
        <v>42363</v>
      </c>
      <c r="I50" s="3">
        <v>6.01</v>
      </c>
    </row>
    <row r="51" spans="1:14" ht="15.6" x14ac:dyDescent="0.3">
      <c r="A51" s="275">
        <v>43947</v>
      </c>
      <c r="B51" s="278">
        <v>34111.64</v>
      </c>
      <c r="C51" s="274">
        <f t="shared" si="0"/>
        <v>3.9015666346596048E-2</v>
      </c>
      <c r="D51" s="278">
        <v>174.97</v>
      </c>
      <c r="E51" s="274">
        <f t="shared" si="1"/>
        <v>6.4216722026581227E-3</v>
      </c>
      <c r="F51" s="358"/>
      <c r="G51" s="358"/>
      <c r="H51" s="363">
        <v>42370</v>
      </c>
      <c r="I51" s="3">
        <v>6.01</v>
      </c>
    </row>
    <row r="52" spans="1:14" ht="15.6" x14ac:dyDescent="0.3">
      <c r="A52" s="275">
        <v>43940</v>
      </c>
      <c r="B52" s="278">
        <v>32806.379999999997</v>
      </c>
      <c r="C52" s="274">
        <f t="shared" si="0"/>
        <v>-7.7546298947982445E-4</v>
      </c>
      <c r="D52" s="278">
        <v>173.85</v>
      </c>
      <c r="E52" s="274">
        <f t="shared" si="1"/>
        <v>-4.0469904933982136E-2</v>
      </c>
      <c r="F52" s="358"/>
      <c r="G52" s="358"/>
      <c r="H52" s="363">
        <v>42377</v>
      </c>
      <c r="I52" s="3">
        <v>6.01</v>
      </c>
    </row>
    <row r="53" spans="1:14" ht="15.6" x14ac:dyDescent="0.3">
      <c r="A53" s="275">
        <v>43933</v>
      </c>
      <c r="B53" s="278">
        <v>32831.83</v>
      </c>
      <c r="C53" s="274">
        <f t="shared" si="0"/>
        <v>2.462560669108621E-2</v>
      </c>
      <c r="D53" s="278">
        <v>181.03</v>
      </c>
      <c r="E53" s="274">
        <f t="shared" si="1"/>
        <v>0.11100470166552567</v>
      </c>
      <c r="F53" s="358"/>
      <c r="G53" s="358"/>
      <c r="H53" s="363">
        <v>42384</v>
      </c>
      <c r="I53" s="3">
        <v>6.01</v>
      </c>
    </row>
    <row r="54" spans="1:14" ht="15.6" x14ac:dyDescent="0.3">
      <c r="A54" s="275">
        <v>43926</v>
      </c>
      <c r="B54" s="278">
        <v>32033.200000000001</v>
      </c>
      <c r="C54" s="274">
        <f t="shared" si="0"/>
        <v>1.2926425048843813E-2</v>
      </c>
      <c r="D54" s="278">
        <v>162.01</v>
      </c>
      <c r="E54" s="274">
        <f t="shared" si="1"/>
        <v>-4.8787224899164816E-2</v>
      </c>
      <c r="F54" s="358"/>
      <c r="G54" s="358"/>
      <c r="H54" s="363">
        <v>42391</v>
      </c>
      <c r="I54" s="3">
        <v>6.01</v>
      </c>
    </row>
    <row r="55" spans="1:14" ht="15.6" x14ac:dyDescent="0.3">
      <c r="A55" s="275">
        <v>43919</v>
      </c>
      <c r="B55" s="278">
        <v>31621.79</v>
      </c>
      <c r="C55" s="274">
        <f t="shared" si="0"/>
        <v>0.11773635216560012</v>
      </c>
      <c r="D55" s="278">
        <v>170.11</v>
      </c>
      <c r="E55" s="274">
        <f t="shared" si="1"/>
        <v>7.9881060636835824E-2</v>
      </c>
      <c r="F55" s="358"/>
      <c r="G55" s="358"/>
      <c r="H55" s="363">
        <v>42398</v>
      </c>
      <c r="I55" s="3">
        <v>6.01</v>
      </c>
    </row>
    <row r="56" spans="1:14" ht="15.6" x14ac:dyDescent="0.3">
      <c r="A56" s="275">
        <v>43912</v>
      </c>
      <c r="B56" s="278">
        <v>28109.57</v>
      </c>
      <c r="C56" s="274">
        <f t="shared" si="0"/>
        <v>-8.7090439463477026E-2</v>
      </c>
      <c r="D56" s="278">
        <v>157.05000000000001</v>
      </c>
      <c r="E56" s="274">
        <f t="shared" si="1"/>
        <v>-2.6701759146507621E-2</v>
      </c>
      <c r="F56" s="358"/>
      <c r="G56" s="358"/>
      <c r="H56" s="363">
        <v>42405</v>
      </c>
      <c r="I56" s="3">
        <v>6.01</v>
      </c>
    </row>
    <row r="57" spans="1:14" ht="15.6" x14ac:dyDescent="0.3">
      <c r="A57" s="275">
        <v>43905</v>
      </c>
      <c r="B57" s="278">
        <v>30667.41</v>
      </c>
      <c r="C57" s="274">
        <f t="shared" si="0"/>
        <v>-0.16200809403129346</v>
      </c>
      <c r="D57" s="278">
        <v>161.30000000000001</v>
      </c>
      <c r="E57" s="274">
        <f t="shared" si="1"/>
        <v>-0.13708983994716153</v>
      </c>
      <c r="F57" s="358"/>
      <c r="G57" s="358"/>
      <c r="H57" s="363">
        <v>42412</v>
      </c>
      <c r="I57" s="3">
        <v>6.01</v>
      </c>
    </row>
    <row r="58" spans="1:14" ht="15.6" x14ac:dyDescent="0.3">
      <c r="A58" s="275">
        <v>43898</v>
      </c>
      <c r="B58" s="278">
        <v>36060.879999999997</v>
      </c>
      <c r="C58" s="274">
        <f t="shared" si="0"/>
        <v>-5.814168330303595E-2</v>
      </c>
      <c r="D58" s="278">
        <v>185</v>
      </c>
      <c r="E58" s="274">
        <f t="shared" si="1"/>
        <v>5.6999443964405115E-2</v>
      </c>
      <c r="F58" s="358"/>
      <c r="G58" s="358"/>
      <c r="H58" s="363">
        <v>42419</v>
      </c>
      <c r="I58" s="3">
        <v>6.01</v>
      </c>
    </row>
    <row r="59" spans="1:14" ht="15.6" x14ac:dyDescent="0.3">
      <c r="A59" s="275">
        <v>43891</v>
      </c>
      <c r="B59" s="278">
        <v>38219.67</v>
      </c>
      <c r="C59" s="274">
        <f t="shared" si="0"/>
        <v>6.1952903870166783E-3</v>
      </c>
      <c r="D59" s="278">
        <v>174.75</v>
      </c>
      <c r="E59" s="274">
        <f t="shared" si="1"/>
        <v>7.2678379344127464E-2</v>
      </c>
      <c r="F59" s="358"/>
      <c r="G59" s="358"/>
      <c r="H59" s="363">
        <v>42426</v>
      </c>
      <c r="I59" s="3">
        <v>6.01</v>
      </c>
    </row>
    <row r="60" spans="1:14" ht="15.6" x14ac:dyDescent="0.3">
      <c r="A60" s="275">
        <v>43884</v>
      </c>
      <c r="B60" s="278">
        <v>37983.620000000003</v>
      </c>
      <c r="C60" s="274">
        <f t="shared" si="0"/>
        <v>-5.793561062989664E-2</v>
      </c>
      <c r="D60" s="278">
        <v>162.5</v>
      </c>
      <c r="E60" s="274">
        <f t="shared" si="1"/>
        <v>-3.9220713153281267E-2</v>
      </c>
      <c r="F60" s="358"/>
      <c r="G60" s="358"/>
      <c r="H60" s="363">
        <v>42433</v>
      </c>
      <c r="I60" s="3">
        <v>6.01</v>
      </c>
    </row>
    <row r="61" spans="1:14" ht="15.6" x14ac:dyDescent="0.3">
      <c r="A61" s="275">
        <v>43877</v>
      </c>
      <c r="B61" s="278">
        <v>40249.22</v>
      </c>
      <c r="C61" s="274">
        <f t="shared" si="0"/>
        <v>1.4808836827722295E-4</v>
      </c>
      <c r="D61" s="278">
        <v>169</v>
      </c>
      <c r="E61" s="274">
        <f t="shared" si="1"/>
        <v>-5.8997221271882708E-3</v>
      </c>
      <c r="F61" s="358"/>
      <c r="G61" s="358"/>
      <c r="H61" s="363">
        <v>42440</v>
      </c>
      <c r="I61" s="3">
        <v>6.01</v>
      </c>
    </row>
    <row r="62" spans="1:14" ht="15.6" x14ac:dyDescent="0.3">
      <c r="A62" s="275">
        <v>43870</v>
      </c>
      <c r="B62" s="278">
        <v>40243.26</v>
      </c>
      <c r="C62" s="274">
        <f t="shared" si="0"/>
        <v>2.4787636643934202E-3</v>
      </c>
      <c r="D62" s="278">
        <v>170</v>
      </c>
      <c r="E62" s="274">
        <f t="shared" si="1"/>
        <v>-1.3148472843506211E-2</v>
      </c>
      <c r="F62" s="358"/>
      <c r="G62" s="358"/>
      <c r="H62" s="363">
        <v>42447</v>
      </c>
      <c r="I62" s="3">
        <v>6.01</v>
      </c>
      <c r="L62" s="382"/>
      <c r="M62" s="382"/>
      <c r="N62" s="382"/>
    </row>
    <row r="63" spans="1:14" ht="15.6" x14ac:dyDescent="0.3">
      <c r="A63" s="275">
        <v>43863</v>
      </c>
      <c r="B63" s="278">
        <v>40143.629999999997</v>
      </c>
      <c r="C63" s="274">
        <f t="shared" si="0"/>
        <v>-3.6379868060107207E-2</v>
      </c>
      <c r="D63" s="278">
        <v>172.25</v>
      </c>
      <c r="E63" s="274">
        <f t="shared" si="1"/>
        <v>-5.2308743811137537E-2</v>
      </c>
      <c r="F63" s="358"/>
      <c r="G63" s="358"/>
      <c r="H63" s="363">
        <v>42454</v>
      </c>
      <c r="I63" s="3">
        <v>6.01</v>
      </c>
      <c r="L63" s="382"/>
      <c r="M63" s="382"/>
      <c r="N63" s="382"/>
    </row>
    <row r="64" spans="1:14" ht="15.6" x14ac:dyDescent="0.3">
      <c r="A64" s="275">
        <v>43856</v>
      </c>
      <c r="B64" s="278">
        <v>41630.94</v>
      </c>
      <c r="C64" s="274">
        <f t="shared" si="0"/>
        <v>-2.3785664135585659E-2</v>
      </c>
      <c r="D64" s="278">
        <v>181.5</v>
      </c>
      <c r="E64" s="274">
        <f t="shared" si="1"/>
        <v>0.11736989786905706</v>
      </c>
      <c r="F64" s="358"/>
      <c r="G64" s="358"/>
      <c r="H64" s="363">
        <v>42461</v>
      </c>
      <c r="I64" s="3">
        <v>6.01</v>
      </c>
      <c r="L64" s="382"/>
      <c r="M64" s="382"/>
      <c r="N64" s="382"/>
    </row>
    <row r="65" spans="1:14" ht="15.6" x14ac:dyDescent="0.3">
      <c r="A65" s="275">
        <v>43849</v>
      </c>
      <c r="B65" s="278">
        <v>42633.03</v>
      </c>
      <c r="C65" s="274">
        <f t="shared" si="0"/>
        <v>-1.2464847032561049E-2</v>
      </c>
      <c r="D65" s="278">
        <v>161.4</v>
      </c>
      <c r="E65" s="274">
        <f t="shared" si="1"/>
        <v>-3.1109553584650115E-2</v>
      </c>
      <c r="F65" s="358"/>
      <c r="G65" s="358"/>
      <c r="H65" s="363">
        <v>42468</v>
      </c>
      <c r="I65" s="3">
        <v>6.01</v>
      </c>
      <c r="L65" s="382"/>
      <c r="M65" s="382"/>
      <c r="N65" s="382"/>
    </row>
    <row r="66" spans="1:14" ht="15.6" x14ac:dyDescent="0.3">
      <c r="A66" s="275">
        <v>43842</v>
      </c>
      <c r="B66" s="278">
        <v>43167.77</v>
      </c>
      <c r="C66" s="274">
        <f t="shared" si="0"/>
        <v>-9.0952438934910026E-4</v>
      </c>
      <c r="D66" s="278">
        <v>166.5</v>
      </c>
      <c r="E66" s="274">
        <f t="shared" si="1"/>
        <v>-8.9686699827603751E-3</v>
      </c>
      <c r="F66" s="358"/>
      <c r="G66" s="358"/>
      <c r="H66" s="363">
        <v>42475</v>
      </c>
      <c r="I66" s="3">
        <v>6.01</v>
      </c>
      <c r="L66" s="382"/>
      <c r="M66" s="382"/>
      <c r="N66" s="382"/>
    </row>
    <row r="67" spans="1:14" ht="15.6" x14ac:dyDescent="0.3">
      <c r="A67" s="275">
        <v>43835</v>
      </c>
      <c r="B67" s="278">
        <v>43207.05</v>
      </c>
      <c r="C67" s="274">
        <f t="shared" si="0"/>
        <v>2.0665914554083124E-2</v>
      </c>
      <c r="D67" s="278">
        <v>168</v>
      </c>
      <c r="E67" s="274">
        <f t="shared" si="1"/>
        <v>-2.9717703891574817E-3</v>
      </c>
      <c r="F67" s="358"/>
      <c r="G67" s="358"/>
      <c r="H67" s="363">
        <v>42482</v>
      </c>
      <c r="I67" s="3">
        <v>6.01</v>
      </c>
      <c r="L67" s="382"/>
      <c r="M67" s="382"/>
      <c r="N67" s="382"/>
    </row>
    <row r="68" spans="1:14" ht="15.6" x14ac:dyDescent="0.3">
      <c r="A68" s="275">
        <v>43828</v>
      </c>
      <c r="B68" s="278">
        <v>42323.3</v>
      </c>
      <c r="C68" s="274">
        <f t="shared" ref="C68:C131" si="2">LN(B68/B69)</f>
        <v>3.5466926479253716E-2</v>
      </c>
      <c r="D68" s="278">
        <v>168.5</v>
      </c>
      <c r="E68" s="274">
        <f t="shared" ref="E68:E131" si="3">LN(D68/D69)</f>
        <v>2.6033273485989605E-2</v>
      </c>
      <c r="F68" s="358"/>
      <c r="G68" s="358"/>
      <c r="H68" s="363">
        <v>42489</v>
      </c>
      <c r="I68" s="3">
        <v>6.01</v>
      </c>
      <c r="L68" s="382"/>
      <c r="M68" s="382"/>
      <c r="N68" s="382"/>
    </row>
    <row r="69" spans="1:14" ht="15.6" x14ac:dyDescent="0.3">
      <c r="A69" s="275">
        <v>43821</v>
      </c>
      <c r="B69" s="278">
        <v>40848.53</v>
      </c>
      <c r="C69" s="274">
        <f t="shared" si="2"/>
        <v>3.8050222834964302E-4</v>
      </c>
      <c r="D69" s="278">
        <v>164.17</v>
      </c>
      <c r="E69" s="274">
        <f t="shared" si="3"/>
        <v>-3.5307640697895173E-2</v>
      </c>
      <c r="F69" s="358"/>
      <c r="G69" s="358"/>
      <c r="H69" s="363">
        <v>42496</v>
      </c>
      <c r="I69" s="3">
        <v>6.01</v>
      </c>
      <c r="L69" s="382"/>
      <c r="M69" s="382"/>
      <c r="N69" s="382"/>
    </row>
    <row r="70" spans="1:14" ht="15.6" x14ac:dyDescent="0.3">
      <c r="A70" s="275">
        <v>43814</v>
      </c>
      <c r="B70" s="278">
        <v>40832.99</v>
      </c>
      <c r="C70" s="274">
        <f t="shared" si="2"/>
        <v>-2.0452711596193008E-3</v>
      </c>
      <c r="D70" s="278">
        <v>170.07</v>
      </c>
      <c r="E70" s="274">
        <f t="shared" si="3"/>
        <v>-4.6415775047523089E-2</v>
      </c>
      <c r="F70" s="358"/>
      <c r="G70" s="358"/>
      <c r="H70" s="363">
        <v>42503</v>
      </c>
      <c r="I70" s="3">
        <v>6.01</v>
      </c>
      <c r="L70" s="382"/>
      <c r="M70" s="382"/>
      <c r="N70" s="382"/>
    </row>
    <row r="71" spans="1:14" ht="15.6" x14ac:dyDescent="0.3">
      <c r="A71" s="275">
        <v>43807</v>
      </c>
      <c r="B71" s="278">
        <v>40916.589999999997</v>
      </c>
      <c r="C71" s="274">
        <f t="shared" si="2"/>
        <v>4.5154423066457883E-3</v>
      </c>
      <c r="D71" s="278">
        <v>178.15</v>
      </c>
      <c r="E71" s="274">
        <f t="shared" si="3"/>
        <v>4.7357006954177723E-2</v>
      </c>
      <c r="F71" s="358"/>
      <c r="G71" s="358"/>
      <c r="H71" s="363">
        <v>42510</v>
      </c>
      <c r="I71" s="3">
        <v>6.01</v>
      </c>
      <c r="L71" s="382"/>
      <c r="M71" s="382"/>
      <c r="N71" s="382"/>
    </row>
    <row r="72" spans="1:14" ht="15.6" x14ac:dyDescent="0.3">
      <c r="A72" s="275">
        <v>43800</v>
      </c>
      <c r="B72" s="278">
        <v>40732.25</v>
      </c>
      <c r="C72" s="274">
        <f t="shared" si="2"/>
        <v>3.6109941846361439E-2</v>
      </c>
      <c r="D72" s="278">
        <v>169.91</v>
      </c>
      <c r="E72" s="274">
        <f t="shared" si="3"/>
        <v>-0.10042811946870207</v>
      </c>
      <c r="F72" s="358"/>
      <c r="G72" s="358"/>
      <c r="H72" s="363">
        <v>42517</v>
      </c>
      <c r="I72" s="3">
        <v>6.01</v>
      </c>
      <c r="L72" s="382"/>
      <c r="M72" s="382"/>
      <c r="N72" s="382"/>
    </row>
    <row r="73" spans="1:14" ht="15.6" x14ac:dyDescent="0.3">
      <c r="A73" s="275">
        <v>43793</v>
      </c>
      <c r="B73" s="278">
        <v>39287.65</v>
      </c>
      <c r="C73" s="274">
        <f t="shared" si="2"/>
        <v>3.5278864520343282E-2</v>
      </c>
      <c r="D73" s="278">
        <v>187.86</v>
      </c>
      <c r="E73" s="274">
        <f t="shared" si="3"/>
        <v>0.19550290822856919</v>
      </c>
      <c r="F73" s="358"/>
      <c r="G73" s="358"/>
      <c r="H73" s="363">
        <v>42524</v>
      </c>
      <c r="I73" s="3">
        <v>6.01</v>
      </c>
      <c r="L73" s="382"/>
      <c r="M73" s="382"/>
      <c r="N73" s="382"/>
    </row>
    <row r="74" spans="1:14" ht="15.6" x14ac:dyDescent="0.3">
      <c r="A74" s="275">
        <v>43786</v>
      </c>
      <c r="B74" s="278">
        <v>37925.79</v>
      </c>
      <c r="C74" s="274">
        <f t="shared" si="2"/>
        <v>9.0558544694047689E-3</v>
      </c>
      <c r="D74" s="278">
        <v>154.5</v>
      </c>
      <c r="E74" s="274">
        <f t="shared" si="3"/>
        <v>1.1718884113213479E-2</v>
      </c>
      <c r="F74" s="358"/>
      <c r="G74" s="358"/>
      <c r="H74" s="363">
        <v>42531</v>
      </c>
      <c r="I74" s="3">
        <v>6.01</v>
      </c>
      <c r="L74" s="382"/>
      <c r="M74" s="382"/>
      <c r="N74" s="382"/>
    </row>
    <row r="75" spans="1:14" ht="15.6" x14ac:dyDescent="0.3">
      <c r="A75" s="275">
        <v>43779</v>
      </c>
      <c r="B75" s="278">
        <v>37583.89</v>
      </c>
      <c r="C75" s="274">
        <f t="shared" si="2"/>
        <v>4.3663413442161216E-2</v>
      </c>
      <c r="D75" s="278">
        <v>152.69999999999999</v>
      </c>
      <c r="E75" s="274">
        <f t="shared" si="3"/>
        <v>0.18263594805646721</v>
      </c>
      <c r="F75" s="358"/>
      <c r="G75" s="358"/>
      <c r="H75" s="363">
        <v>42538</v>
      </c>
      <c r="I75" s="3">
        <v>6.01</v>
      </c>
      <c r="L75" s="382"/>
      <c r="M75" s="382"/>
      <c r="N75" s="382"/>
    </row>
    <row r="76" spans="1:14" ht="15.6" x14ac:dyDescent="0.3">
      <c r="A76" s="275">
        <v>43772</v>
      </c>
      <c r="B76" s="278">
        <v>35978.160000000003</v>
      </c>
      <c r="C76" s="274">
        <f t="shared" si="2"/>
        <v>4.5506607315627362E-2</v>
      </c>
      <c r="D76" s="278">
        <v>127.21</v>
      </c>
      <c r="E76" s="274">
        <f t="shared" si="3"/>
        <v>7.6426634785979483E-2</v>
      </c>
      <c r="F76" s="358"/>
      <c r="G76" s="358"/>
      <c r="H76" s="363">
        <v>42545</v>
      </c>
      <c r="I76" s="3">
        <v>6.01</v>
      </c>
      <c r="L76" s="382"/>
      <c r="M76" s="382"/>
      <c r="N76" s="382"/>
    </row>
    <row r="77" spans="1:14" ht="15.6" x14ac:dyDescent="0.3">
      <c r="A77" s="275">
        <v>43765</v>
      </c>
      <c r="B77" s="278">
        <v>34377.61</v>
      </c>
      <c r="C77" s="274">
        <f t="shared" si="2"/>
        <v>2.117075494898436E-2</v>
      </c>
      <c r="D77" s="278">
        <v>117.85</v>
      </c>
      <c r="E77" s="274">
        <f t="shared" si="3"/>
        <v>0.13945227458682993</v>
      </c>
      <c r="F77" s="358"/>
      <c r="G77" s="358"/>
      <c r="H77" s="363">
        <v>42552</v>
      </c>
      <c r="I77" s="3">
        <v>6.01</v>
      </c>
      <c r="L77" s="382"/>
      <c r="M77" s="382"/>
      <c r="N77" s="382"/>
    </row>
    <row r="78" spans="1:14" ht="15.6" x14ac:dyDescent="0.3">
      <c r="A78" s="275">
        <v>43758</v>
      </c>
      <c r="B78" s="278">
        <v>33657.46</v>
      </c>
      <c r="C78" s="274">
        <f t="shared" si="2"/>
        <v>-6.2993700896875875E-3</v>
      </c>
      <c r="D78" s="278">
        <v>102.51</v>
      </c>
      <c r="E78" s="274">
        <f t="shared" si="3"/>
        <v>-3.9216961167073558E-2</v>
      </c>
      <c r="F78" s="358"/>
      <c r="G78" s="358"/>
      <c r="H78" s="363">
        <v>42559</v>
      </c>
      <c r="I78" s="3">
        <v>6.01</v>
      </c>
      <c r="L78" s="382"/>
      <c r="M78" s="382"/>
      <c r="N78" s="382"/>
    </row>
    <row r="79" spans="1:14" ht="15.6" x14ac:dyDescent="0.3">
      <c r="A79" s="275">
        <v>43751</v>
      </c>
      <c r="B79" s="278">
        <v>33870.15</v>
      </c>
      <c r="C79" s="274">
        <f t="shared" si="2"/>
        <v>-1.7720342464504824E-2</v>
      </c>
      <c r="D79" s="278">
        <v>106.61</v>
      </c>
      <c r="E79" s="274">
        <f t="shared" si="3"/>
        <v>-8.4412875143980923E-2</v>
      </c>
      <c r="F79" s="358"/>
      <c r="G79" s="358"/>
      <c r="H79" s="363">
        <v>42566</v>
      </c>
      <c r="I79" s="3">
        <v>6.01</v>
      </c>
      <c r="L79" s="382"/>
      <c r="M79" s="382"/>
      <c r="N79" s="382"/>
    </row>
    <row r="80" spans="1:14" ht="15.6" x14ac:dyDescent="0.3">
      <c r="A80" s="275">
        <v>43744</v>
      </c>
      <c r="B80" s="278">
        <v>34475.69</v>
      </c>
      <c r="C80" s="274">
        <f t="shared" si="2"/>
        <v>4.2737688947284337E-2</v>
      </c>
      <c r="D80" s="278">
        <v>116</v>
      </c>
      <c r="E80" s="274">
        <f t="shared" si="3"/>
        <v>0.14842000511827322</v>
      </c>
      <c r="F80" s="358"/>
      <c r="G80" s="358"/>
      <c r="H80" s="363">
        <v>42573</v>
      </c>
      <c r="I80" s="3">
        <v>6.01</v>
      </c>
      <c r="L80" s="382"/>
      <c r="M80" s="382"/>
      <c r="N80" s="382"/>
    </row>
    <row r="81" spans="1:14" ht="15.6" x14ac:dyDescent="0.3">
      <c r="A81" s="275">
        <v>43737</v>
      </c>
      <c r="B81" s="278">
        <v>33033.32</v>
      </c>
      <c r="C81" s="274">
        <f t="shared" si="2"/>
        <v>2.9570478399186063E-2</v>
      </c>
      <c r="D81" s="278">
        <v>100</v>
      </c>
      <c r="E81" s="274">
        <f t="shared" si="3"/>
        <v>2.8914010164642311E-2</v>
      </c>
      <c r="F81" s="358"/>
      <c r="G81" s="358"/>
      <c r="H81" s="363">
        <v>42580</v>
      </c>
      <c r="I81" s="3">
        <v>6.01</v>
      </c>
      <c r="L81" s="382"/>
      <c r="M81" s="382"/>
      <c r="N81" s="382"/>
    </row>
    <row r="82" spans="1:14" ht="15.6" x14ac:dyDescent="0.3">
      <c r="A82" s="275">
        <v>43730</v>
      </c>
      <c r="B82" s="278">
        <v>32070.81</v>
      </c>
      <c r="C82" s="274">
        <f t="shared" si="2"/>
        <v>-1.2554941195208266E-3</v>
      </c>
      <c r="D82" s="278">
        <v>97.15</v>
      </c>
      <c r="E82" s="274">
        <f t="shared" si="3"/>
        <v>-8.7113028471227632E-3</v>
      </c>
      <c r="F82" s="358"/>
      <c r="G82" s="358"/>
      <c r="H82" s="363">
        <v>42587</v>
      </c>
      <c r="I82" s="3">
        <v>6.01</v>
      </c>
      <c r="L82" s="382"/>
      <c r="M82" s="382"/>
      <c r="N82" s="382"/>
    </row>
    <row r="83" spans="1:14" ht="15.6" x14ac:dyDescent="0.3">
      <c r="A83" s="275">
        <v>43723</v>
      </c>
      <c r="B83" s="278">
        <v>32111.1</v>
      </c>
      <c r="C83" s="274">
        <f t="shared" si="2"/>
        <v>1.9807728349017274E-2</v>
      </c>
      <c r="D83" s="278">
        <v>98</v>
      </c>
      <c r="E83" s="274">
        <f t="shared" si="3"/>
        <v>0.13062018241706422</v>
      </c>
      <c r="F83" s="358"/>
      <c r="G83" s="358"/>
      <c r="H83" s="363">
        <v>42594</v>
      </c>
      <c r="I83" s="3">
        <v>6.01</v>
      </c>
      <c r="L83" s="382"/>
      <c r="M83" s="382"/>
      <c r="N83" s="382"/>
    </row>
    <row r="84" spans="1:14" ht="15.6" x14ac:dyDescent="0.3">
      <c r="A84" s="275">
        <v>43716</v>
      </c>
      <c r="B84" s="278">
        <v>31481.31</v>
      </c>
      <c r="C84" s="274">
        <f t="shared" si="2"/>
        <v>3.2743341297139072E-2</v>
      </c>
      <c r="D84" s="278">
        <v>86</v>
      </c>
      <c r="E84" s="274">
        <f t="shared" si="3"/>
        <v>3.3701090614570939E-2</v>
      </c>
      <c r="F84" s="358"/>
      <c r="G84" s="358"/>
      <c r="H84" s="363">
        <v>42601</v>
      </c>
      <c r="I84" s="3">
        <v>6.01</v>
      </c>
      <c r="L84" s="382"/>
      <c r="M84" s="382"/>
      <c r="N84" s="382"/>
    </row>
    <row r="85" spans="1:14" ht="15.6" x14ac:dyDescent="0.3">
      <c r="A85" s="275">
        <v>43709</v>
      </c>
      <c r="B85" s="278">
        <v>30467.200000000001</v>
      </c>
      <c r="C85" s="274">
        <f t="shared" si="2"/>
        <v>2.6442810713353398E-2</v>
      </c>
      <c r="D85" s="278">
        <v>83.15</v>
      </c>
      <c r="E85" s="274">
        <f t="shared" si="3"/>
        <v>-6.592771856492886E-3</v>
      </c>
      <c r="F85" s="358"/>
      <c r="G85" s="358"/>
      <c r="H85" s="363">
        <v>42608</v>
      </c>
      <c r="I85" s="3">
        <v>6.01</v>
      </c>
      <c r="L85" s="382"/>
      <c r="M85" s="382"/>
      <c r="N85" s="382"/>
    </row>
    <row r="86" spans="1:14" ht="15.6" x14ac:dyDescent="0.3">
      <c r="A86" s="275">
        <v>43702</v>
      </c>
      <c r="B86" s="278">
        <v>29672.12</v>
      </c>
      <c r="C86" s="274">
        <f t="shared" si="2"/>
        <v>-5.5006701662263319E-2</v>
      </c>
      <c r="D86" s="278">
        <v>83.7</v>
      </c>
      <c r="E86" s="274">
        <f t="shared" si="3"/>
        <v>-0.1181812040868877</v>
      </c>
      <c r="F86" s="358"/>
      <c r="G86" s="358"/>
      <c r="H86" s="363">
        <v>42615</v>
      </c>
      <c r="I86" s="3">
        <v>6.01</v>
      </c>
      <c r="L86" s="382"/>
      <c r="M86" s="382"/>
      <c r="N86" s="382"/>
    </row>
    <row r="87" spans="1:14" ht="15.6" x14ac:dyDescent="0.3">
      <c r="A87" s="275">
        <v>43695</v>
      </c>
      <c r="B87" s="278">
        <v>31350.01</v>
      </c>
      <c r="C87" s="274">
        <f t="shared" si="2"/>
        <v>8.6068078679778656E-2</v>
      </c>
      <c r="D87" s="278">
        <v>94.2</v>
      </c>
      <c r="E87" s="274">
        <f t="shared" si="3"/>
        <v>0.10276892509200085</v>
      </c>
      <c r="F87" s="358"/>
      <c r="G87" s="358"/>
      <c r="H87" s="363">
        <v>42622</v>
      </c>
      <c r="I87" s="3">
        <v>6.01</v>
      </c>
      <c r="L87" s="382"/>
      <c r="M87" s="382"/>
      <c r="N87" s="382"/>
    </row>
    <row r="88" spans="1:14" ht="15.6" x14ac:dyDescent="0.3">
      <c r="A88" s="275">
        <v>43688</v>
      </c>
      <c r="B88" s="278">
        <v>28764.63</v>
      </c>
      <c r="C88" s="274">
        <f t="shared" si="2"/>
        <v>-2.2836453959964271E-2</v>
      </c>
      <c r="D88" s="278">
        <v>85</v>
      </c>
      <c r="E88" s="274">
        <f t="shared" si="3"/>
        <v>-2.3256862164267235E-2</v>
      </c>
      <c r="F88" s="358"/>
      <c r="G88" s="358"/>
      <c r="H88" s="363">
        <v>42629</v>
      </c>
      <c r="I88" s="3">
        <v>6.01</v>
      </c>
      <c r="L88" s="382"/>
      <c r="M88" s="382"/>
      <c r="N88" s="382"/>
    </row>
    <row r="89" spans="1:14" ht="15.6" x14ac:dyDescent="0.3">
      <c r="A89" s="275">
        <v>43681</v>
      </c>
      <c r="B89" s="278">
        <v>29429.07</v>
      </c>
      <c r="C89" s="274">
        <f t="shared" si="2"/>
        <v>-7.3273536298094688E-2</v>
      </c>
      <c r="D89" s="278">
        <v>87</v>
      </c>
      <c r="E89" s="274">
        <f t="shared" si="3"/>
        <v>-3.3901551675681339E-2</v>
      </c>
      <c r="F89" s="358"/>
      <c r="G89" s="358"/>
      <c r="H89" s="363">
        <v>42636</v>
      </c>
      <c r="I89" s="3">
        <v>6.01</v>
      </c>
      <c r="L89" s="382"/>
      <c r="M89" s="382"/>
      <c r="N89" s="382"/>
    </row>
    <row r="90" spans="1:14" ht="15.6" x14ac:dyDescent="0.3">
      <c r="A90" s="275">
        <v>43674</v>
      </c>
      <c r="B90" s="278">
        <v>31666.41</v>
      </c>
      <c r="C90" s="274">
        <f t="shared" si="2"/>
        <v>-1.3701396470112818E-2</v>
      </c>
      <c r="D90" s="278">
        <v>90</v>
      </c>
      <c r="E90" s="274">
        <f t="shared" si="3"/>
        <v>1.1117288526904154E-3</v>
      </c>
      <c r="F90" s="358"/>
      <c r="G90" s="358"/>
      <c r="H90" s="363">
        <v>42643</v>
      </c>
      <c r="I90" s="3">
        <v>6.01</v>
      </c>
      <c r="L90" s="382"/>
      <c r="M90" s="382"/>
      <c r="N90" s="382"/>
    </row>
    <row r="91" spans="1:14" ht="15.6" x14ac:dyDescent="0.3">
      <c r="A91" s="275">
        <v>43667</v>
      </c>
      <c r="B91" s="278">
        <v>32103.27</v>
      </c>
      <c r="C91" s="274">
        <f t="shared" si="2"/>
        <v>-1.1012774470829347E-2</v>
      </c>
      <c r="D91" s="278">
        <v>89.9</v>
      </c>
      <c r="E91" s="274">
        <f t="shared" si="3"/>
        <v>-1.2228337914192821E-3</v>
      </c>
      <c r="F91" s="358"/>
      <c r="G91" s="358"/>
      <c r="H91" s="363">
        <v>42650</v>
      </c>
      <c r="I91" s="3">
        <v>6.01</v>
      </c>
      <c r="L91" s="382"/>
      <c r="M91" s="382"/>
      <c r="N91" s="382"/>
    </row>
    <row r="92" spans="1:14" ht="15.6" x14ac:dyDescent="0.3">
      <c r="A92" s="275">
        <v>43660</v>
      </c>
      <c r="B92" s="278">
        <v>32458.77</v>
      </c>
      <c r="C92" s="274">
        <f t="shared" si="2"/>
        <v>-3.6710514935174729E-2</v>
      </c>
      <c r="D92" s="278">
        <v>90.01</v>
      </c>
      <c r="E92" s="274">
        <f t="shared" si="3"/>
        <v>-3.2678717884262014E-2</v>
      </c>
      <c r="F92" s="358"/>
      <c r="G92" s="358"/>
      <c r="H92" s="363">
        <v>42657</v>
      </c>
      <c r="I92" s="3">
        <v>6.01</v>
      </c>
      <c r="L92" s="382"/>
      <c r="M92" s="382"/>
      <c r="N92" s="382"/>
    </row>
    <row r="93" spans="1:14" ht="15.6" x14ac:dyDescent="0.3">
      <c r="A93" s="275">
        <v>43653</v>
      </c>
      <c r="B93" s="278">
        <v>33672.49</v>
      </c>
      <c r="C93" s="274">
        <f t="shared" si="2"/>
        <v>-1.5252605104860794E-2</v>
      </c>
      <c r="D93" s="278">
        <v>93</v>
      </c>
      <c r="E93" s="274">
        <f t="shared" si="3"/>
        <v>-2.7677923944098747E-2</v>
      </c>
      <c r="F93" s="358"/>
      <c r="G93" s="358"/>
      <c r="H93" s="363">
        <v>42664</v>
      </c>
      <c r="I93" s="3">
        <v>6.01</v>
      </c>
      <c r="L93" s="382"/>
      <c r="M93" s="382"/>
      <c r="N93" s="382"/>
    </row>
    <row r="94" spans="1:14" ht="15.6" x14ac:dyDescent="0.3">
      <c r="A94" s="275">
        <v>43646</v>
      </c>
      <c r="B94" s="278">
        <v>34190.019999999997</v>
      </c>
      <c r="C94" s="274">
        <f t="shared" si="2"/>
        <v>8.472167647485724E-3</v>
      </c>
      <c r="D94" s="278">
        <v>95.61</v>
      </c>
      <c r="E94" s="274">
        <f t="shared" si="3"/>
        <v>6.4005254968138364E-3</v>
      </c>
      <c r="F94" s="358"/>
      <c r="G94" s="358"/>
      <c r="H94" s="363">
        <v>42671</v>
      </c>
      <c r="I94" s="3">
        <v>6.35</v>
      </c>
      <c r="L94" s="382"/>
      <c r="M94" s="382"/>
      <c r="N94" s="382"/>
    </row>
    <row r="95" spans="1:14" ht="15.6" x14ac:dyDescent="0.3">
      <c r="A95" s="275">
        <v>43639</v>
      </c>
      <c r="B95" s="278">
        <v>33901.58</v>
      </c>
      <c r="C95" s="274">
        <f t="shared" si="2"/>
        <v>-3.5458624096386004E-2</v>
      </c>
      <c r="D95" s="278">
        <v>95</v>
      </c>
      <c r="E95" s="274">
        <f t="shared" si="3"/>
        <v>-1.5251523040284955E-2</v>
      </c>
      <c r="F95" s="358"/>
      <c r="G95" s="358"/>
      <c r="H95" s="363">
        <v>42678</v>
      </c>
      <c r="I95" s="3">
        <v>6.35</v>
      </c>
      <c r="L95" s="382"/>
      <c r="M95" s="382"/>
      <c r="N95" s="382"/>
    </row>
    <row r="96" spans="1:14" ht="15.6" x14ac:dyDescent="0.3">
      <c r="A96" s="275">
        <v>43632</v>
      </c>
      <c r="B96" s="278">
        <v>35125.25</v>
      </c>
      <c r="C96" s="274">
        <f t="shared" si="2"/>
        <v>-1.2665272512771391E-2</v>
      </c>
      <c r="D96" s="278">
        <v>96.46</v>
      </c>
      <c r="E96" s="274">
        <f t="shared" si="3"/>
        <v>-6.5309269027833738E-2</v>
      </c>
      <c r="F96" s="358"/>
      <c r="G96" s="358"/>
      <c r="H96" s="363">
        <v>42685</v>
      </c>
      <c r="I96" s="3">
        <v>6.35</v>
      </c>
      <c r="L96" s="382"/>
      <c r="M96" s="382"/>
      <c r="N96" s="382"/>
    </row>
    <row r="97" spans="1:14" ht="15.6" x14ac:dyDescent="0.3">
      <c r="A97" s="275">
        <v>43625</v>
      </c>
      <c r="B97" s="278">
        <v>35572.949999999997</v>
      </c>
      <c r="C97" s="274">
        <f t="shared" si="2"/>
        <v>1.9038181146935492E-3</v>
      </c>
      <c r="D97" s="278">
        <v>102.97</v>
      </c>
      <c r="E97" s="274">
        <f t="shared" si="3"/>
        <v>1.4378885186817483E-2</v>
      </c>
      <c r="F97" s="358"/>
      <c r="G97" s="358"/>
      <c r="H97" s="363">
        <v>42692</v>
      </c>
      <c r="I97" s="3">
        <v>6.35</v>
      </c>
      <c r="L97" s="382"/>
      <c r="M97" s="382"/>
      <c r="N97" s="382"/>
    </row>
    <row r="98" spans="1:14" ht="15.6" x14ac:dyDescent="0.3">
      <c r="A98" s="275">
        <v>43618</v>
      </c>
      <c r="B98" s="278">
        <v>35505.29</v>
      </c>
      <c r="C98" s="274">
        <f t="shared" si="2"/>
        <v>-1.3136715904938258E-2</v>
      </c>
      <c r="D98" s="278">
        <v>101.5</v>
      </c>
      <c r="E98" s="274">
        <f t="shared" si="3"/>
        <v>-3.8652154434279107E-2</v>
      </c>
      <c r="F98" s="358"/>
      <c r="G98" s="358"/>
      <c r="H98" s="363">
        <v>42699</v>
      </c>
      <c r="I98" s="3">
        <v>6.35</v>
      </c>
      <c r="L98" s="382"/>
      <c r="M98" s="382"/>
      <c r="N98" s="382"/>
    </row>
    <row r="99" spans="1:14" ht="15.6" x14ac:dyDescent="0.3">
      <c r="A99" s="275">
        <v>43611</v>
      </c>
      <c r="B99" s="278">
        <v>35974.79</v>
      </c>
      <c r="C99" s="274">
        <f t="shared" si="2"/>
        <v>7.561009589111589E-3</v>
      </c>
      <c r="D99" s="278">
        <v>105.5</v>
      </c>
      <c r="E99" s="274">
        <f t="shared" si="3"/>
        <v>2.3981964686485405E-2</v>
      </c>
      <c r="F99" s="358"/>
      <c r="G99" s="358"/>
      <c r="H99" s="363">
        <v>42706</v>
      </c>
      <c r="I99" s="3">
        <v>6.35</v>
      </c>
      <c r="L99" s="382"/>
      <c r="M99" s="382"/>
      <c r="N99" s="382"/>
    </row>
    <row r="100" spans="1:14" ht="15.6" x14ac:dyDescent="0.3">
      <c r="A100" s="275">
        <v>43604</v>
      </c>
      <c r="B100" s="278">
        <v>35703.81</v>
      </c>
      <c r="C100" s="274">
        <f t="shared" si="2"/>
        <v>7.3713457319936157E-2</v>
      </c>
      <c r="D100" s="278">
        <v>103</v>
      </c>
      <c r="E100" s="274">
        <f t="shared" si="3"/>
        <v>8.253772703243091E-2</v>
      </c>
      <c r="F100" s="358"/>
      <c r="G100" s="358"/>
      <c r="H100" s="363">
        <v>42713</v>
      </c>
      <c r="I100" s="3">
        <v>6.35</v>
      </c>
      <c r="L100" s="382"/>
      <c r="M100" s="382"/>
      <c r="N100" s="382"/>
    </row>
    <row r="101" spans="1:14" ht="15.6" x14ac:dyDescent="0.3">
      <c r="A101" s="275">
        <v>43597</v>
      </c>
      <c r="B101" s="278">
        <v>33166.620000000003</v>
      </c>
      <c r="C101" s="274">
        <f t="shared" si="2"/>
        <v>-4.5671993940990287E-2</v>
      </c>
      <c r="D101" s="278">
        <v>94.84</v>
      </c>
      <c r="E101" s="274">
        <f t="shared" si="3"/>
        <v>-0.10224516609380463</v>
      </c>
      <c r="F101" s="358"/>
      <c r="G101" s="358"/>
      <c r="H101" s="363">
        <v>42720</v>
      </c>
      <c r="I101" s="3">
        <v>6.35</v>
      </c>
      <c r="L101" s="382"/>
      <c r="M101" s="382"/>
      <c r="N101" s="382"/>
    </row>
    <row r="102" spans="1:14" ht="15.6" x14ac:dyDescent="0.3">
      <c r="A102" s="275">
        <v>43590</v>
      </c>
      <c r="B102" s="278">
        <v>34716.53</v>
      </c>
      <c r="C102" s="274">
        <f t="shared" si="2"/>
        <v>-3.9712455016295063E-2</v>
      </c>
      <c r="D102" s="278">
        <v>105.05</v>
      </c>
      <c r="E102" s="274">
        <f t="shared" si="3"/>
        <v>-9.0582653813480699E-2</v>
      </c>
      <c r="F102" s="358"/>
      <c r="G102" s="358"/>
      <c r="H102" s="363">
        <v>42727</v>
      </c>
      <c r="I102" s="3">
        <v>6.83</v>
      </c>
      <c r="L102" s="382"/>
      <c r="M102" s="382"/>
      <c r="N102" s="382"/>
    </row>
    <row r="103" spans="1:14" ht="15.6" x14ac:dyDescent="0.3">
      <c r="A103" s="275">
        <v>43583</v>
      </c>
      <c r="B103" s="278">
        <v>36122.949999999997</v>
      </c>
      <c r="C103" s="274">
        <f t="shared" si="2"/>
        <v>-2.7513838039283117E-2</v>
      </c>
      <c r="D103" s="278">
        <v>115.01</v>
      </c>
      <c r="E103" s="274">
        <f t="shared" si="3"/>
        <v>-2.1504355241359664E-2</v>
      </c>
      <c r="F103" s="358"/>
      <c r="G103" s="358"/>
      <c r="H103" s="363">
        <v>42734</v>
      </c>
      <c r="I103" s="3">
        <v>6.83</v>
      </c>
      <c r="L103" s="382"/>
      <c r="M103" s="382"/>
      <c r="N103" s="382"/>
    </row>
    <row r="104" spans="1:14" ht="15.6" x14ac:dyDescent="0.3">
      <c r="A104" s="275">
        <v>43576</v>
      </c>
      <c r="B104" s="278">
        <v>37130.629999999997</v>
      </c>
      <c r="C104" s="274">
        <f t="shared" si="2"/>
        <v>-4.349194137487568E-3</v>
      </c>
      <c r="D104" s="278">
        <v>117.51</v>
      </c>
      <c r="E104" s="274">
        <f t="shared" si="3"/>
        <v>-0.12397605651042552</v>
      </c>
      <c r="F104" s="358"/>
      <c r="G104" s="358"/>
      <c r="H104" s="363">
        <v>42741</v>
      </c>
      <c r="I104" s="3">
        <v>6.83</v>
      </c>
      <c r="L104" s="382"/>
      <c r="M104" s="382"/>
      <c r="N104" s="382"/>
    </row>
    <row r="105" spans="1:14" ht="15.6" x14ac:dyDescent="0.3">
      <c r="A105" s="275">
        <v>43569</v>
      </c>
      <c r="B105" s="278">
        <v>37292.47</v>
      </c>
      <c r="C105" s="274">
        <f t="shared" si="2"/>
        <v>-1.2166635071033495E-3</v>
      </c>
      <c r="D105" s="278">
        <v>133.02000000000001</v>
      </c>
      <c r="E105" s="274">
        <f t="shared" si="3"/>
        <v>-6.6101912747495065E-2</v>
      </c>
      <c r="F105" s="358"/>
      <c r="G105" s="358"/>
      <c r="H105" s="363">
        <v>42748</v>
      </c>
      <c r="I105" s="3">
        <v>6.83</v>
      </c>
      <c r="L105" s="382"/>
      <c r="M105" s="382"/>
      <c r="N105" s="382"/>
    </row>
    <row r="106" spans="1:14" ht="15.6" x14ac:dyDescent="0.3">
      <c r="A106" s="275">
        <v>43562</v>
      </c>
      <c r="B106" s="278">
        <v>37337.870000000003</v>
      </c>
      <c r="C106" s="274">
        <f t="shared" si="2"/>
        <v>-4.9142708112024543E-3</v>
      </c>
      <c r="D106" s="278">
        <v>142.11000000000001</v>
      </c>
      <c r="E106" s="274">
        <f t="shared" si="3"/>
        <v>2.205553261476894E-2</v>
      </c>
      <c r="F106" s="358"/>
      <c r="G106" s="358"/>
      <c r="H106" s="363">
        <v>42755</v>
      </c>
      <c r="I106" s="3">
        <v>7.85</v>
      </c>
      <c r="L106" s="382"/>
      <c r="M106" s="382"/>
      <c r="N106" s="382"/>
    </row>
    <row r="107" spans="1:14" ht="15.6" x14ac:dyDescent="0.3">
      <c r="A107" s="275">
        <v>43555</v>
      </c>
      <c r="B107" s="278">
        <v>37521.81</v>
      </c>
      <c r="C107" s="274">
        <f t="shared" si="2"/>
        <v>-2.960733464899263E-2</v>
      </c>
      <c r="D107" s="278">
        <v>139.01</v>
      </c>
      <c r="E107" s="274">
        <f t="shared" si="3"/>
        <v>-3.5267426586999447E-2</v>
      </c>
      <c r="F107" s="358"/>
      <c r="G107" s="358"/>
      <c r="H107" s="363">
        <v>42762</v>
      </c>
      <c r="I107" s="3">
        <v>7.85</v>
      </c>
      <c r="L107" s="382"/>
      <c r="M107" s="382"/>
      <c r="N107" s="382"/>
    </row>
    <row r="108" spans="1:14" ht="15.6" hidden="1" x14ac:dyDescent="0.3">
      <c r="A108" s="275">
        <v>43548</v>
      </c>
      <c r="B108" s="278">
        <v>38649.339999999997</v>
      </c>
      <c r="C108" s="274">
        <f t="shared" si="2"/>
        <v>3.0440074911036387E-3</v>
      </c>
      <c r="D108" s="278">
        <v>144</v>
      </c>
      <c r="E108" s="274">
        <f t="shared" si="3"/>
        <v>9.7269513679028167E-4</v>
      </c>
      <c r="F108" s="358"/>
      <c r="G108" s="358"/>
      <c r="H108" s="363">
        <v>42769</v>
      </c>
      <c r="I108" s="3">
        <v>7.85</v>
      </c>
      <c r="L108" s="382"/>
      <c r="M108" s="382"/>
      <c r="N108" s="382"/>
    </row>
    <row r="109" spans="1:14" ht="15.6" hidden="1" x14ac:dyDescent="0.3">
      <c r="A109" s="275">
        <v>43541</v>
      </c>
      <c r="B109" s="278">
        <v>38531.870000000003</v>
      </c>
      <c r="C109" s="274">
        <f t="shared" si="2"/>
        <v>5.8543492051930492E-3</v>
      </c>
      <c r="D109" s="278">
        <v>143.86000000000001</v>
      </c>
      <c r="E109" s="274">
        <f t="shared" si="3"/>
        <v>3.9700557106987829E-3</v>
      </c>
      <c r="F109" s="358"/>
      <c r="G109" s="358"/>
      <c r="H109" s="363">
        <v>42776</v>
      </c>
      <c r="I109" s="3">
        <v>7.85</v>
      </c>
      <c r="L109" s="382"/>
      <c r="M109" s="382"/>
      <c r="N109" s="382"/>
    </row>
    <row r="110" spans="1:14" ht="15.6" hidden="1" x14ac:dyDescent="0.3">
      <c r="A110" s="275">
        <v>43534</v>
      </c>
      <c r="B110" s="278">
        <v>38306.949999999997</v>
      </c>
      <c r="C110" s="274">
        <f t="shared" si="2"/>
        <v>-1.665333544041173E-2</v>
      </c>
      <c r="D110" s="278">
        <v>143.29</v>
      </c>
      <c r="E110" s="274">
        <f t="shared" si="3"/>
        <v>-4.1756723970205578E-2</v>
      </c>
      <c r="F110" s="358"/>
      <c r="G110" s="358"/>
      <c r="H110" s="363">
        <v>42783</v>
      </c>
      <c r="I110" s="3">
        <v>7.85</v>
      </c>
      <c r="L110" s="382"/>
      <c r="M110" s="382"/>
      <c r="N110" s="382"/>
    </row>
    <row r="111" spans="1:14" ht="15.6" hidden="1" x14ac:dyDescent="0.3">
      <c r="A111" s="275">
        <v>43527</v>
      </c>
      <c r="B111" s="278">
        <v>38950.230000000003</v>
      </c>
      <c r="C111" s="274">
        <f t="shared" si="2"/>
        <v>-1.5003102187008151E-2</v>
      </c>
      <c r="D111" s="278">
        <v>149.4</v>
      </c>
      <c r="E111" s="274">
        <f t="shared" si="3"/>
        <v>0.12572108527724526</v>
      </c>
      <c r="F111" s="358"/>
      <c r="G111" s="358"/>
      <c r="H111" s="363">
        <v>42790</v>
      </c>
      <c r="I111" s="3">
        <v>7.85</v>
      </c>
      <c r="L111" s="382"/>
      <c r="M111" s="382"/>
      <c r="N111" s="382"/>
    </row>
    <row r="112" spans="1:14" ht="15.6" hidden="1" x14ac:dyDescent="0.3">
      <c r="A112" s="275">
        <v>43520</v>
      </c>
      <c r="B112" s="278">
        <v>39539.01</v>
      </c>
      <c r="C112" s="274">
        <f t="shared" si="2"/>
        <v>-1.1994843337756503E-2</v>
      </c>
      <c r="D112" s="278">
        <v>131.75</v>
      </c>
      <c r="E112" s="274">
        <f t="shared" si="3"/>
        <v>-3.1675166199395893E-2</v>
      </c>
      <c r="F112" s="358"/>
      <c r="G112" s="358"/>
      <c r="H112" s="363">
        <v>42797</v>
      </c>
      <c r="I112" s="3">
        <v>7.85</v>
      </c>
      <c r="L112" s="382"/>
      <c r="M112" s="382"/>
      <c r="N112" s="382"/>
    </row>
    <row r="113" spans="1:14" ht="15.6" hidden="1" x14ac:dyDescent="0.3">
      <c r="A113" s="275">
        <v>43513</v>
      </c>
      <c r="B113" s="278">
        <v>40016.129999999997</v>
      </c>
      <c r="C113" s="274">
        <f t="shared" si="2"/>
        <v>-1.1690161302442048E-2</v>
      </c>
      <c r="D113" s="278">
        <v>135.99</v>
      </c>
      <c r="E113" s="274">
        <f t="shared" si="3"/>
        <v>-3.7808413460104724E-2</v>
      </c>
      <c r="F113" s="358"/>
      <c r="G113" s="358"/>
      <c r="H113" s="363">
        <v>42804</v>
      </c>
      <c r="I113" s="3">
        <v>7.85</v>
      </c>
      <c r="L113" s="382"/>
      <c r="M113" s="382"/>
      <c r="N113" s="382"/>
    </row>
    <row r="114" spans="1:14" ht="15.6" hidden="1" x14ac:dyDescent="0.3">
      <c r="A114" s="275">
        <v>43506</v>
      </c>
      <c r="B114" s="278">
        <v>40486.67</v>
      </c>
      <c r="C114" s="274">
        <f t="shared" si="2"/>
        <v>-9.8479401219511778E-3</v>
      </c>
      <c r="D114" s="278">
        <v>141.22999999999999</v>
      </c>
      <c r="E114" s="274">
        <f t="shared" si="3"/>
        <v>-1.9354085639206781E-2</v>
      </c>
      <c r="F114" s="358"/>
      <c r="G114" s="358"/>
      <c r="H114" s="363">
        <v>42811</v>
      </c>
      <c r="I114" s="3">
        <v>7.85</v>
      </c>
      <c r="L114" s="382"/>
      <c r="M114" s="382"/>
      <c r="N114" s="382"/>
    </row>
    <row r="115" spans="1:14" ht="15.6" hidden="1" x14ac:dyDescent="0.3">
      <c r="A115" s="275">
        <v>43499</v>
      </c>
      <c r="B115" s="278">
        <v>40887.35</v>
      </c>
      <c r="C115" s="274">
        <f t="shared" si="2"/>
        <v>-5.4965951827734352E-3</v>
      </c>
      <c r="D115" s="278">
        <v>143.99</v>
      </c>
      <c r="E115" s="274">
        <f t="shared" si="3"/>
        <v>-6.9425162466353846E-4</v>
      </c>
      <c r="F115" s="358"/>
      <c r="G115" s="358"/>
      <c r="H115" s="363">
        <v>42818</v>
      </c>
      <c r="I115" s="3">
        <v>7.85</v>
      </c>
      <c r="L115" s="382"/>
      <c r="M115" s="382"/>
      <c r="N115" s="382"/>
    </row>
    <row r="116" spans="1:14" ht="15.6" hidden="1" x14ac:dyDescent="0.3">
      <c r="A116" s="275">
        <v>43492</v>
      </c>
      <c r="B116" s="278">
        <v>41112.71</v>
      </c>
      <c r="C116" s="274">
        <f t="shared" si="2"/>
        <v>2.08401780074008E-2</v>
      </c>
      <c r="D116" s="278">
        <v>144.09</v>
      </c>
      <c r="E116" s="274">
        <f t="shared" si="3"/>
        <v>8.1970444222794467E-2</v>
      </c>
      <c r="F116" s="358"/>
      <c r="G116" s="358"/>
      <c r="H116" s="363">
        <v>42825</v>
      </c>
      <c r="I116" s="3">
        <v>7.85</v>
      </c>
      <c r="L116" s="382"/>
      <c r="M116" s="382"/>
      <c r="N116" s="382"/>
    </row>
    <row r="117" spans="1:14" ht="15.6" hidden="1" x14ac:dyDescent="0.3">
      <c r="A117" s="275">
        <v>43485</v>
      </c>
      <c r="B117" s="278">
        <v>40264.78</v>
      </c>
      <c r="C117" s="274">
        <f t="shared" si="2"/>
        <v>2.4087241829166942E-2</v>
      </c>
      <c r="D117" s="278">
        <v>132.75</v>
      </c>
      <c r="E117" s="274">
        <f t="shared" si="3"/>
        <v>5.5142338614233366E-3</v>
      </c>
      <c r="F117" s="358"/>
      <c r="G117" s="358"/>
      <c r="H117" s="363">
        <v>42832</v>
      </c>
      <c r="I117" s="3">
        <v>7.85</v>
      </c>
      <c r="L117" s="382"/>
      <c r="M117" s="382"/>
      <c r="N117" s="382"/>
    </row>
    <row r="118" spans="1:14" ht="15.6" hidden="1" x14ac:dyDescent="0.3">
      <c r="A118" s="275">
        <v>43478</v>
      </c>
      <c r="B118" s="278">
        <v>39306.5</v>
      </c>
      <c r="C118" s="274">
        <f t="shared" si="2"/>
        <v>6.5705831319926933E-3</v>
      </c>
      <c r="D118" s="278">
        <v>132.02000000000001</v>
      </c>
      <c r="E118" s="274">
        <f t="shared" si="3"/>
        <v>7.6312864639818109E-2</v>
      </c>
      <c r="F118" s="358"/>
      <c r="G118" s="358"/>
      <c r="H118" s="363">
        <v>42839</v>
      </c>
      <c r="I118" s="3">
        <v>8.82</v>
      </c>
      <c r="L118" s="382"/>
      <c r="M118" s="382"/>
      <c r="N118" s="382"/>
    </row>
    <row r="119" spans="1:14" ht="15.6" hidden="1" x14ac:dyDescent="0.3">
      <c r="A119" s="275">
        <v>43471</v>
      </c>
      <c r="B119" s="278">
        <v>39049.08</v>
      </c>
      <c r="C119" s="274">
        <f t="shared" si="2"/>
        <v>3.9212784700865262E-2</v>
      </c>
      <c r="D119" s="278">
        <v>122.32</v>
      </c>
      <c r="E119" s="274">
        <f t="shared" si="3"/>
        <v>6.6065738626512563E-2</v>
      </c>
      <c r="F119" s="358"/>
      <c r="G119" s="358"/>
      <c r="H119" s="363">
        <v>42846</v>
      </c>
      <c r="I119" s="3">
        <v>8.82</v>
      </c>
      <c r="L119" s="382"/>
      <c r="M119" s="382"/>
      <c r="N119" s="382"/>
    </row>
    <row r="120" spans="1:14" ht="15.6" hidden="1" x14ac:dyDescent="0.3">
      <c r="A120" s="275">
        <v>43464</v>
      </c>
      <c r="B120" s="278">
        <v>37547.49</v>
      </c>
      <c r="C120" s="274">
        <f t="shared" si="2"/>
        <v>1.0184722854914568E-2</v>
      </c>
      <c r="D120" s="278">
        <v>114.5</v>
      </c>
      <c r="E120" s="274">
        <f t="shared" si="3"/>
        <v>1.9846296371930749E-2</v>
      </c>
      <c r="F120" s="358"/>
      <c r="G120" s="358"/>
      <c r="H120" s="363">
        <v>42853</v>
      </c>
      <c r="I120" s="3">
        <v>8.82</v>
      </c>
      <c r="L120" s="382"/>
      <c r="M120" s="382"/>
      <c r="N120" s="382"/>
    </row>
    <row r="121" spans="1:14" ht="15.6" hidden="1" x14ac:dyDescent="0.3">
      <c r="A121" s="275">
        <v>43457</v>
      </c>
      <c r="B121" s="278">
        <v>37167.019999999997</v>
      </c>
      <c r="C121" s="274">
        <f t="shared" si="2"/>
        <v>-2.8748940532067172E-2</v>
      </c>
      <c r="D121" s="278">
        <v>112.25</v>
      </c>
      <c r="E121" s="274">
        <f t="shared" si="3"/>
        <v>-2.4203601740886364E-2</v>
      </c>
      <c r="F121" s="358"/>
      <c r="G121" s="358"/>
      <c r="H121" s="363">
        <v>42860</v>
      </c>
      <c r="I121" s="3">
        <v>8.82</v>
      </c>
      <c r="L121" s="382"/>
      <c r="M121" s="382"/>
      <c r="N121" s="382"/>
    </row>
    <row r="122" spans="1:14" ht="15.6" hidden="1" x14ac:dyDescent="0.3">
      <c r="A122" s="275">
        <v>43450</v>
      </c>
      <c r="B122" s="278">
        <v>38251.040000000001</v>
      </c>
      <c r="C122" s="274">
        <f t="shared" si="2"/>
        <v>-8.7099554105290154E-3</v>
      </c>
      <c r="D122" s="278">
        <v>115</v>
      </c>
      <c r="E122" s="274">
        <f t="shared" si="3"/>
        <v>-1.3817145553141843E-2</v>
      </c>
      <c r="F122" s="358"/>
      <c r="G122" s="358"/>
      <c r="H122" s="363">
        <v>42867</v>
      </c>
      <c r="I122" s="3">
        <v>8.82</v>
      </c>
      <c r="L122" s="382"/>
      <c r="M122" s="382"/>
      <c r="N122" s="382"/>
    </row>
    <row r="123" spans="1:14" ht="15.6" hidden="1" x14ac:dyDescent="0.3">
      <c r="A123" s="275">
        <v>43443</v>
      </c>
      <c r="B123" s="278">
        <v>38585.660000000003</v>
      </c>
      <c r="C123" s="274">
        <f t="shared" si="2"/>
        <v>6.1207262631879714E-4</v>
      </c>
      <c r="D123" s="278">
        <v>116.6</v>
      </c>
      <c r="E123" s="274">
        <f t="shared" si="3"/>
        <v>-4.4451762570833921E-2</v>
      </c>
      <c r="F123" s="358"/>
      <c r="G123" s="358"/>
      <c r="H123" s="363">
        <v>42874</v>
      </c>
      <c r="I123" s="3">
        <v>8.82</v>
      </c>
      <c r="L123" s="382"/>
      <c r="M123" s="382"/>
      <c r="N123" s="382"/>
    </row>
    <row r="124" spans="1:14" ht="15.6" hidden="1" x14ac:dyDescent="0.3">
      <c r="A124" s="275">
        <v>43436</v>
      </c>
      <c r="B124" s="278">
        <v>38562.050000000003</v>
      </c>
      <c r="C124" s="274">
        <f t="shared" si="2"/>
        <v>-4.8935312386791524E-2</v>
      </c>
      <c r="D124" s="278">
        <v>121.9</v>
      </c>
      <c r="E124" s="274">
        <f t="shared" si="3"/>
        <v>-9.239744762067148E-2</v>
      </c>
      <c r="F124" s="358"/>
      <c r="G124" s="358"/>
      <c r="H124" s="363">
        <v>42881</v>
      </c>
      <c r="I124" s="3">
        <v>8.82</v>
      </c>
      <c r="L124" s="382"/>
      <c r="M124" s="382"/>
      <c r="N124" s="382"/>
    </row>
    <row r="125" spans="1:14" ht="15.6" hidden="1" x14ac:dyDescent="0.3">
      <c r="A125" s="275">
        <v>43429</v>
      </c>
      <c r="B125" s="278">
        <v>40496.03</v>
      </c>
      <c r="C125" s="274">
        <f t="shared" si="2"/>
        <v>-9.1747359707428644E-3</v>
      </c>
      <c r="D125" s="278">
        <v>133.69999999999999</v>
      </c>
      <c r="E125" s="274">
        <f t="shared" si="3"/>
        <v>-2.8025432998728537E-2</v>
      </c>
      <c r="F125" s="358"/>
      <c r="G125" s="358"/>
      <c r="H125" s="363">
        <v>42888</v>
      </c>
      <c r="I125" s="3">
        <v>8.82</v>
      </c>
      <c r="L125" s="382"/>
      <c r="M125" s="382"/>
      <c r="N125" s="382"/>
    </row>
    <row r="126" spans="1:14" ht="15.6" hidden="1" x14ac:dyDescent="0.3">
      <c r="A126" s="275">
        <v>43422</v>
      </c>
      <c r="B126" s="278">
        <v>40869.279999999999</v>
      </c>
      <c r="C126" s="274">
        <f t="shared" si="2"/>
        <v>-1.9180757964092739E-2</v>
      </c>
      <c r="D126" s="278">
        <v>137.5</v>
      </c>
      <c r="E126" s="274">
        <f t="shared" si="3"/>
        <v>-3.8521167829195783E-2</v>
      </c>
      <c r="F126" s="358"/>
      <c r="G126" s="358"/>
      <c r="H126" s="363">
        <v>42895</v>
      </c>
      <c r="I126" s="3">
        <v>10.35</v>
      </c>
      <c r="L126" s="382"/>
      <c r="M126" s="382"/>
      <c r="N126" s="382"/>
    </row>
    <row r="127" spans="1:14" ht="15.6" hidden="1" x14ac:dyDescent="0.3">
      <c r="A127" s="275">
        <v>43415</v>
      </c>
      <c r="B127" s="278">
        <v>41660.75</v>
      </c>
      <c r="C127" s="274">
        <f t="shared" si="2"/>
        <v>6.5471928329659717E-3</v>
      </c>
      <c r="D127" s="278">
        <v>142.9</v>
      </c>
      <c r="E127" s="274">
        <f t="shared" si="3"/>
        <v>6.3180273345610936E-3</v>
      </c>
      <c r="F127" s="358"/>
      <c r="G127" s="358"/>
      <c r="H127" s="363">
        <v>42902</v>
      </c>
      <c r="I127" s="3">
        <v>10.35</v>
      </c>
      <c r="L127" s="382"/>
      <c r="M127" s="382"/>
      <c r="N127" s="382"/>
    </row>
    <row r="128" spans="1:14" ht="15.6" hidden="1" x14ac:dyDescent="0.3">
      <c r="A128" s="275">
        <v>43408</v>
      </c>
      <c r="B128" s="278">
        <v>41388.879999999997</v>
      </c>
      <c r="C128" s="274">
        <f t="shared" si="2"/>
        <v>-1.4754748776260996E-2</v>
      </c>
      <c r="D128" s="278">
        <v>142</v>
      </c>
      <c r="E128" s="274">
        <f t="shared" si="3"/>
        <v>-5.7604323796996197E-2</v>
      </c>
      <c r="F128" s="358"/>
      <c r="G128" s="358"/>
      <c r="H128" s="363">
        <v>42909</v>
      </c>
      <c r="I128" s="3">
        <v>10.35</v>
      </c>
      <c r="L128" s="382"/>
      <c r="M128" s="382"/>
      <c r="N128" s="382"/>
    </row>
    <row r="129" spans="1:14" ht="15.6" hidden="1" x14ac:dyDescent="0.3">
      <c r="A129" s="275">
        <v>43401</v>
      </c>
      <c r="B129" s="278">
        <v>42004.09</v>
      </c>
      <c r="C129" s="274">
        <f t="shared" si="2"/>
        <v>3.507216369694284E-2</v>
      </c>
      <c r="D129" s="278">
        <v>150.41999999999999</v>
      </c>
      <c r="E129" s="274">
        <f t="shared" si="3"/>
        <v>0.10320591490103989</v>
      </c>
      <c r="F129" s="358"/>
      <c r="G129" s="358"/>
      <c r="H129" s="363">
        <v>42916</v>
      </c>
      <c r="I129" s="3">
        <v>10.35</v>
      </c>
      <c r="L129" s="382"/>
      <c r="M129" s="382"/>
      <c r="N129" s="382"/>
    </row>
    <row r="130" spans="1:14" ht="15.6" hidden="1" x14ac:dyDescent="0.3">
      <c r="A130" s="275">
        <v>43394</v>
      </c>
      <c r="B130" s="278">
        <v>40556.449999999997</v>
      </c>
      <c r="C130" s="274">
        <f t="shared" si="2"/>
        <v>5.3849400484393149E-2</v>
      </c>
      <c r="D130" s="278">
        <v>135.66999999999999</v>
      </c>
      <c r="E130" s="274">
        <f t="shared" si="3"/>
        <v>3.1598915321326922E-2</v>
      </c>
      <c r="F130" s="358"/>
      <c r="G130" s="358"/>
      <c r="H130" s="363">
        <v>42923</v>
      </c>
      <c r="I130" s="3">
        <v>10.35</v>
      </c>
      <c r="L130" s="382"/>
      <c r="M130" s="382"/>
      <c r="N130" s="382"/>
    </row>
    <row r="131" spans="1:14" ht="15.6" hidden="1" x14ac:dyDescent="0.3">
      <c r="A131" s="275">
        <v>43387</v>
      </c>
      <c r="B131" s="278">
        <v>38430.269999999997</v>
      </c>
      <c r="C131" s="274">
        <f t="shared" si="2"/>
        <v>2.4026478272817189E-2</v>
      </c>
      <c r="D131" s="278">
        <v>131.44999999999999</v>
      </c>
      <c r="E131" s="274">
        <f t="shared" si="3"/>
        <v>8.2836005579148983E-2</v>
      </c>
      <c r="F131" s="358"/>
      <c r="G131" s="358"/>
      <c r="H131" s="363">
        <v>42930</v>
      </c>
      <c r="I131" s="3">
        <v>10.35</v>
      </c>
      <c r="L131" s="382"/>
      <c r="M131" s="382"/>
      <c r="N131" s="382"/>
    </row>
    <row r="132" spans="1:14" ht="15.6" hidden="1" x14ac:dyDescent="0.3">
      <c r="A132" s="275">
        <v>43380</v>
      </c>
      <c r="B132" s="278">
        <v>37517.93</v>
      </c>
      <c r="C132" s="274">
        <f t="shared" ref="C132:C195" si="4">LN(B132/B133)</f>
        <v>-4.4529762812475948E-2</v>
      </c>
      <c r="D132" s="278">
        <v>121</v>
      </c>
      <c r="E132" s="274">
        <f t="shared" ref="E132:E195" si="5">LN(D132/D133)</f>
        <v>-0.11318109472301449</v>
      </c>
      <c r="F132" s="358"/>
      <c r="G132" s="358"/>
      <c r="H132" s="363">
        <v>42937</v>
      </c>
      <c r="I132" s="3">
        <v>10.35</v>
      </c>
      <c r="L132" s="382"/>
      <c r="M132" s="382"/>
      <c r="N132" s="382"/>
    </row>
    <row r="133" spans="1:14" ht="15.6" hidden="1" x14ac:dyDescent="0.3">
      <c r="A133" s="275">
        <v>43373</v>
      </c>
      <c r="B133" s="278">
        <v>39226.35</v>
      </c>
      <c r="C133" s="274">
        <f t="shared" si="4"/>
        <v>-4.4188961016192629E-2</v>
      </c>
      <c r="D133" s="278">
        <v>135.5</v>
      </c>
      <c r="E133" s="274">
        <f t="shared" si="5"/>
        <v>-0.11075553045471827</v>
      </c>
      <c r="F133" s="358"/>
      <c r="G133" s="358"/>
      <c r="H133" s="363">
        <v>42944</v>
      </c>
      <c r="I133" s="3">
        <v>10.35</v>
      </c>
      <c r="L133" s="382"/>
      <c r="M133" s="382"/>
      <c r="N133" s="382"/>
    </row>
    <row r="134" spans="1:14" ht="15.6" hidden="1" x14ac:dyDescent="0.3">
      <c r="A134" s="275">
        <v>43366</v>
      </c>
      <c r="B134" s="278">
        <v>40998.589999999997</v>
      </c>
      <c r="C134" s="274">
        <f t="shared" si="4"/>
        <v>-7.8121145536270663E-3</v>
      </c>
      <c r="D134" s="278">
        <v>151.37</v>
      </c>
      <c r="E134" s="274">
        <f t="shared" si="5"/>
        <v>-1.7290364595900196E-2</v>
      </c>
      <c r="F134" s="358"/>
      <c r="G134" s="358"/>
      <c r="H134" s="363">
        <v>42951</v>
      </c>
      <c r="I134" s="3">
        <v>10.35</v>
      </c>
      <c r="L134" s="382"/>
      <c r="M134" s="382"/>
      <c r="N134" s="382"/>
    </row>
    <row r="135" spans="1:14" ht="15.6" hidden="1" x14ac:dyDescent="0.3">
      <c r="A135" s="275">
        <v>43359</v>
      </c>
      <c r="B135" s="278">
        <v>41320.129999999997</v>
      </c>
      <c r="C135" s="274">
        <f t="shared" si="4"/>
        <v>9.7232736103689422E-3</v>
      </c>
      <c r="D135" s="278">
        <v>154.01</v>
      </c>
      <c r="E135" s="274">
        <f t="shared" si="5"/>
        <v>-1.283847187916291E-2</v>
      </c>
      <c r="F135" s="358"/>
      <c r="G135" s="358"/>
      <c r="H135" s="363">
        <v>42958</v>
      </c>
      <c r="I135" s="3">
        <v>10.35</v>
      </c>
      <c r="L135" s="382"/>
      <c r="M135" s="382"/>
      <c r="N135" s="382"/>
    </row>
    <row r="136" spans="1:14" ht="15.6" hidden="1" x14ac:dyDescent="0.3">
      <c r="A136" s="275">
        <v>43352</v>
      </c>
      <c r="B136" s="278">
        <v>40920.31</v>
      </c>
      <c r="C136" s="274">
        <f t="shared" si="4"/>
        <v>1.6029336573730767E-3</v>
      </c>
      <c r="D136" s="278">
        <v>156</v>
      </c>
      <c r="E136" s="274">
        <f t="shared" si="5"/>
        <v>6.4104618759781037E-5</v>
      </c>
      <c r="F136" s="358"/>
      <c r="G136" s="358"/>
      <c r="H136" s="363">
        <v>42965</v>
      </c>
      <c r="I136" s="3">
        <v>10.35</v>
      </c>
      <c r="L136" s="382"/>
      <c r="M136" s="382"/>
      <c r="N136" s="382"/>
    </row>
    <row r="137" spans="1:14" ht="15.6" hidden="1" x14ac:dyDescent="0.3">
      <c r="A137" s="275">
        <v>43345</v>
      </c>
      <c r="B137" s="278">
        <v>40854.769999999997</v>
      </c>
      <c r="C137" s="274">
        <f t="shared" si="4"/>
        <v>-2.1489982602812503E-2</v>
      </c>
      <c r="D137" s="278">
        <v>155.99</v>
      </c>
      <c r="E137" s="274">
        <f t="shared" si="5"/>
        <v>-2.5381912603049596E-2</v>
      </c>
      <c r="F137" s="358"/>
      <c r="G137" s="358"/>
      <c r="H137" s="363">
        <v>42972</v>
      </c>
      <c r="I137" s="3">
        <v>10.35</v>
      </c>
      <c r="L137" s="382"/>
      <c r="M137" s="382"/>
      <c r="N137" s="382"/>
    </row>
    <row r="138" spans="1:14" ht="15.6" hidden="1" x14ac:dyDescent="0.3">
      <c r="A138" s="275">
        <v>43338</v>
      </c>
      <c r="B138" s="278">
        <v>41742.239999999998</v>
      </c>
      <c r="C138" s="274">
        <f t="shared" si="4"/>
        <v>-2.0065767101317064E-2</v>
      </c>
      <c r="D138" s="278">
        <v>160</v>
      </c>
      <c r="E138" s="274">
        <f t="shared" si="5"/>
        <v>-3.3736954797024966E-2</v>
      </c>
      <c r="F138" s="358"/>
      <c r="G138" s="358"/>
      <c r="H138" s="363">
        <v>42979</v>
      </c>
      <c r="I138" s="3">
        <v>10.35</v>
      </c>
      <c r="L138" s="382"/>
      <c r="M138" s="382"/>
      <c r="N138" s="382"/>
    </row>
    <row r="139" spans="1:14" ht="15.6" hidden="1" x14ac:dyDescent="0.3">
      <c r="A139" s="275">
        <v>43331</v>
      </c>
      <c r="B139" s="278">
        <v>42588.29</v>
      </c>
      <c r="C139" s="274">
        <f t="shared" si="4"/>
        <v>3.3320463577754277E-3</v>
      </c>
      <c r="D139" s="278">
        <v>165.49</v>
      </c>
      <c r="E139" s="274">
        <f t="shared" si="5"/>
        <v>3.5715404652986566E-3</v>
      </c>
      <c r="F139" s="358"/>
      <c r="G139" s="358"/>
      <c r="H139" s="363">
        <v>42986</v>
      </c>
      <c r="I139" s="3">
        <v>10.35</v>
      </c>
      <c r="L139" s="382"/>
      <c r="M139" s="382"/>
      <c r="N139" s="382"/>
    </row>
    <row r="140" spans="1:14" ht="15.6" hidden="1" x14ac:dyDescent="0.3">
      <c r="A140" s="275">
        <v>43324</v>
      </c>
      <c r="B140" s="278">
        <v>42446.62</v>
      </c>
      <c r="C140" s="274">
        <f t="shared" si="4"/>
        <v>-9.275844805036005E-3</v>
      </c>
      <c r="D140" s="278">
        <v>164.9</v>
      </c>
      <c r="E140" s="274">
        <f t="shared" si="5"/>
        <v>8.4650790190582033E-3</v>
      </c>
      <c r="F140" s="358"/>
      <c r="G140" s="358"/>
      <c r="H140" s="363">
        <v>42993</v>
      </c>
      <c r="I140" s="3">
        <v>10.35</v>
      </c>
      <c r="L140" s="382"/>
      <c r="M140" s="382"/>
      <c r="N140" s="382"/>
    </row>
    <row r="141" spans="1:14" ht="15.6" hidden="1" x14ac:dyDescent="0.3">
      <c r="A141" s="275">
        <v>43317</v>
      </c>
      <c r="B141" s="278">
        <v>42842.18</v>
      </c>
      <c r="C141" s="274">
        <f t="shared" si="4"/>
        <v>7.9002389054962357E-3</v>
      </c>
      <c r="D141" s="278">
        <v>163.51</v>
      </c>
      <c r="E141" s="274">
        <f t="shared" si="5"/>
        <v>-2.0820215843168403E-2</v>
      </c>
      <c r="F141" s="358"/>
      <c r="G141" s="358"/>
      <c r="H141" s="363">
        <v>43000</v>
      </c>
      <c r="I141" s="3">
        <v>10.35</v>
      </c>
      <c r="L141" s="382"/>
      <c r="M141" s="382"/>
      <c r="N141" s="382"/>
    </row>
    <row r="142" spans="1:14" ht="15.6" hidden="1" x14ac:dyDescent="0.3">
      <c r="A142" s="275">
        <v>43310</v>
      </c>
      <c r="B142" s="278">
        <v>42505.05</v>
      </c>
      <c r="C142" s="274">
        <f t="shared" si="4"/>
        <v>-6.5985712770687283E-3</v>
      </c>
      <c r="D142" s="278">
        <v>166.95</v>
      </c>
      <c r="E142" s="274">
        <f t="shared" si="5"/>
        <v>2.3330856762695265E-2</v>
      </c>
      <c r="F142" s="358"/>
      <c r="G142" s="358"/>
      <c r="H142" s="363">
        <v>43007</v>
      </c>
      <c r="I142" s="3">
        <v>10.35</v>
      </c>
      <c r="L142" s="382"/>
      <c r="M142" s="382"/>
      <c r="N142" s="382"/>
    </row>
    <row r="143" spans="1:14" ht="15.6" hidden="1" x14ac:dyDescent="0.3">
      <c r="A143" s="275">
        <v>43303</v>
      </c>
      <c r="B143" s="278">
        <v>42786.45</v>
      </c>
      <c r="C143" s="274">
        <f t="shared" si="4"/>
        <v>3.7255433997901037E-2</v>
      </c>
      <c r="D143" s="278">
        <v>163.1</v>
      </c>
      <c r="E143" s="274">
        <f t="shared" si="5"/>
        <v>5.0938392707721554E-2</v>
      </c>
      <c r="F143" s="358"/>
      <c r="G143" s="358"/>
      <c r="H143" s="363">
        <v>43014</v>
      </c>
      <c r="I143" s="3">
        <v>10.35</v>
      </c>
      <c r="L143" s="382"/>
      <c r="M143" s="382"/>
      <c r="N143" s="382"/>
    </row>
    <row r="144" spans="1:14" ht="15.6" hidden="1" x14ac:dyDescent="0.3">
      <c r="A144" s="275">
        <v>43296</v>
      </c>
      <c r="B144" s="278">
        <v>41221.75</v>
      </c>
      <c r="C144" s="274">
        <f t="shared" si="4"/>
        <v>2.3334422743524569E-2</v>
      </c>
      <c r="D144" s="278">
        <v>155</v>
      </c>
      <c r="E144" s="274">
        <f t="shared" si="5"/>
        <v>-9.6308930609613E-3</v>
      </c>
      <c r="F144" s="358"/>
      <c r="G144" s="358"/>
      <c r="H144" s="363">
        <v>43021</v>
      </c>
      <c r="I144" s="3">
        <v>10.35</v>
      </c>
      <c r="L144" s="382"/>
      <c r="M144" s="382"/>
      <c r="N144" s="382"/>
    </row>
    <row r="145" spans="1:14" ht="15.6" hidden="1" x14ac:dyDescent="0.3">
      <c r="A145" s="275">
        <v>43289</v>
      </c>
      <c r="B145" s="278">
        <v>40271</v>
      </c>
      <c r="C145" s="274">
        <f t="shared" si="4"/>
        <v>-3.2623616858070477E-4</v>
      </c>
      <c r="D145" s="278">
        <v>156.5</v>
      </c>
      <c r="E145" s="274">
        <f t="shared" si="5"/>
        <v>-4.5895365164615683E-2</v>
      </c>
      <c r="F145" s="358"/>
      <c r="G145" s="358"/>
      <c r="H145" s="363">
        <v>43028</v>
      </c>
      <c r="I145" s="3">
        <v>10.35</v>
      </c>
      <c r="L145" s="382"/>
      <c r="M145" s="382"/>
      <c r="N145" s="382"/>
    </row>
    <row r="146" spans="1:14" ht="15.6" hidden="1" x14ac:dyDescent="0.3">
      <c r="A146" s="275">
        <v>43282</v>
      </c>
      <c r="B146" s="278">
        <v>40284.14</v>
      </c>
      <c r="C146" s="274">
        <f t="shared" si="4"/>
        <v>-3.9588093189757853E-2</v>
      </c>
      <c r="D146" s="278">
        <v>163.85</v>
      </c>
      <c r="E146" s="274">
        <f t="shared" si="5"/>
        <v>-1.3036413211719614E-2</v>
      </c>
      <c r="F146" s="358"/>
      <c r="G146" s="358"/>
      <c r="H146" s="363">
        <v>43035</v>
      </c>
      <c r="I146" s="3">
        <v>10.35</v>
      </c>
      <c r="L146" s="382"/>
      <c r="M146" s="382"/>
      <c r="N146" s="382"/>
    </row>
    <row r="147" spans="1:14" ht="15.6" hidden="1" x14ac:dyDescent="0.3">
      <c r="A147" s="275">
        <v>43275</v>
      </c>
      <c r="B147" s="278">
        <v>41910.9</v>
      </c>
      <c r="C147" s="274">
        <f t="shared" si="4"/>
        <v>6.5476147965755106E-3</v>
      </c>
      <c r="D147" s="278">
        <v>166</v>
      </c>
      <c r="E147" s="274">
        <f t="shared" si="5"/>
        <v>-7.5398017484211738E-2</v>
      </c>
      <c r="F147" s="358"/>
      <c r="G147" s="358"/>
      <c r="H147" s="363">
        <v>43042</v>
      </c>
      <c r="I147" s="3">
        <v>10.35</v>
      </c>
      <c r="L147" s="382"/>
      <c r="M147" s="382"/>
      <c r="N147" s="382"/>
    </row>
    <row r="148" spans="1:14" ht="15.6" hidden="1" x14ac:dyDescent="0.3">
      <c r="A148" s="275">
        <v>43268</v>
      </c>
      <c r="B148" s="278">
        <v>41637.379999999997</v>
      </c>
      <c r="C148" s="274">
        <f t="shared" si="4"/>
        <v>-4.7907577582808246E-2</v>
      </c>
      <c r="D148" s="278">
        <v>179</v>
      </c>
      <c r="E148" s="274">
        <f t="shared" si="5"/>
        <v>-2.0733292789132846E-2</v>
      </c>
      <c r="F148" s="358"/>
      <c r="G148" s="358"/>
      <c r="H148" s="363">
        <v>43049</v>
      </c>
      <c r="I148" s="3">
        <v>10.35</v>
      </c>
      <c r="L148" s="382"/>
      <c r="M148" s="382"/>
      <c r="N148" s="382"/>
    </row>
    <row r="149" spans="1:14" ht="15.6" hidden="1" x14ac:dyDescent="0.3">
      <c r="A149" s="275">
        <v>43261</v>
      </c>
      <c r="B149" s="278">
        <v>43680.68</v>
      </c>
      <c r="C149" s="274">
        <f t="shared" si="4"/>
        <v>-6.1037207125025075E-3</v>
      </c>
      <c r="D149" s="278">
        <v>182.75</v>
      </c>
      <c r="E149" s="274">
        <f t="shared" si="5"/>
        <v>-2.2989518224698718E-2</v>
      </c>
      <c r="F149" s="358"/>
      <c r="G149" s="358"/>
      <c r="H149" s="363">
        <v>43056</v>
      </c>
      <c r="I149" s="3">
        <v>10.35</v>
      </c>
      <c r="L149" s="382"/>
      <c r="M149" s="382"/>
      <c r="N149" s="382"/>
    </row>
    <row r="150" spans="1:14" ht="15.6" hidden="1" x14ac:dyDescent="0.3">
      <c r="A150" s="275">
        <v>43254</v>
      </c>
      <c r="B150" s="278">
        <v>43948.11</v>
      </c>
      <c r="C150" s="274">
        <f t="shared" si="4"/>
        <v>2.3839237033495747E-2</v>
      </c>
      <c r="D150" s="278">
        <v>187</v>
      </c>
      <c r="E150" s="274">
        <f t="shared" si="5"/>
        <v>4.3946691662428488E-3</v>
      </c>
      <c r="F150" s="358"/>
      <c r="G150" s="358"/>
      <c r="H150" s="363">
        <v>43063</v>
      </c>
      <c r="I150" s="3">
        <v>10.35</v>
      </c>
      <c r="L150" s="382"/>
      <c r="M150" s="382"/>
      <c r="N150" s="382"/>
    </row>
    <row r="151" spans="1:14" ht="15.6" hidden="1" x14ac:dyDescent="0.3">
      <c r="A151" s="275">
        <v>43247</v>
      </c>
      <c r="B151" s="278">
        <v>42912.81</v>
      </c>
      <c r="C151" s="274">
        <f t="shared" si="4"/>
        <v>1.973827096222508E-2</v>
      </c>
      <c r="D151" s="278">
        <v>186.18</v>
      </c>
      <c r="E151" s="274">
        <f t="shared" si="5"/>
        <v>3.9272277486243769E-2</v>
      </c>
      <c r="F151" s="358"/>
      <c r="G151" s="358"/>
      <c r="H151" s="363">
        <v>43070</v>
      </c>
      <c r="I151" s="3">
        <v>10.35</v>
      </c>
      <c r="L151" s="382"/>
      <c r="M151" s="382"/>
      <c r="N151" s="382"/>
    </row>
    <row r="152" spans="1:14" ht="15.6" hidden="1" x14ac:dyDescent="0.3">
      <c r="A152" s="275">
        <v>43240</v>
      </c>
      <c r="B152" s="278">
        <v>42074.09</v>
      </c>
      <c r="C152" s="274">
        <f t="shared" si="4"/>
        <v>1.0766719684884006E-2</v>
      </c>
      <c r="D152" s="278">
        <v>179.01</v>
      </c>
      <c r="E152" s="274">
        <f t="shared" si="5"/>
        <v>-5.7929198927841111E-3</v>
      </c>
      <c r="F152" s="358"/>
      <c r="G152" s="358"/>
      <c r="H152" s="363">
        <v>43077</v>
      </c>
      <c r="I152" s="3">
        <v>10.35</v>
      </c>
      <c r="L152" s="382"/>
      <c r="M152" s="382"/>
      <c r="N152" s="382"/>
    </row>
    <row r="153" spans="1:14" ht="15.6" hidden="1" x14ac:dyDescent="0.3">
      <c r="A153" s="275">
        <v>43233</v>
      </c>
      <c r="B153" s="278">
        <v>41623.519999999997</v>
      </c>
      <c r="C153" s="274">
        <f t="shared" si="4"/>
        <v>-4.6272255689060411E-2</v>
      </c>
      <c r="D153" s="278">
        <v>180.05</v>
      </c>
      <c r="E153" s="274">
        <f t="shared" si="5"/>
        <v>-2.8741543196429874E-2</v>
      </c>
      <c r="F153" s="358"/>
      <c r="G153" s="358"/>
      <c r="H153" s="363">
        <v>43084</v>
      </c>
      <c r="I153" s="3">
        <v>10.35</v>
      </c>
      <c r="L153" s="382"/>
      <c r="M153" s="382"/>
      <c r="N153" s="382"/>
    </row>
    <row r="154" spans="1:14" ht="15.6" hidden="1" x14ac:dyDescent="0.3">
      <c r="A154" s="275">
        <v>43226</v>
      </c>
      <c r="B154" s="278">
        <v>43594.79</v>
      </c>
      <c r="C154" s="274">
        <f t="shared" si="4"/>
        <v>-2.1380635778667795E-2</v>
      </c>
      <c r="D154" s="278">
        <v>185.3</v>
      </c>
      <c r="E154" s="274">
        <f t="shared" si="5"/>
        <v>-1.5529093859965041E-2</v>
      </c>
      <c r="F154" s="358"/>
      <c r="G154" s="358"/>
      <c r="H154" s="363">
        <v>43091</v>
      </c>
      <c r="I154" s="3">
        <v>10.35</v>
      </c>
      <c r="L154" s="382"/>
      <c r="M154" s="382"/>
      <c r="N154" s="382"/>
    </row>
    <row r="155" spans="1:14" ht="15.6" hidden="1" x14ac:dyDescent="0.3">
      <c r="A155" s="275">
        <v>43219</v>
      </c>
      <c r="B155" s="278">
        <v>44536.91</v>
      </c>
      <c r="C155" s="274">
        <f t="shared" si="4"/>
        <v>-2.2333820426700481E-2</v>
      </c>
      <c r="D155" s="278">
        <v>188.2</v>
      </c>
      <c r="E155" s="274">
        <f t="shared" si="5"/>
        <v>-2.9734183825895981E-2</v>
      </c>
      <c r="F155" s="358"/>
      <c r="G155" s="358"/>
      <c r="H155" s="363">
        <v>43098</v>
      </c>
      <c r="I155" s="3">
        <v>10.35</v>
      </c>
      <c r="L155" s="382"/>
      <c r="M155" s="382"/>
      <c r="N155" s="382"/>
    </row>
    <row r="156" spans="1:14" ht="15.6" hidden="1" x14ac:dyDescent="0.3">
      <c r="A156" s="275">
        <v>43212</v>
      </c>
      <c r="B156" s="278">
        <v>45542.78</v>
      </c>
      <c r="C156" s="274">
        <f t="shared" si="4"/>
        <v>6.2430463210268843E-3</v>
      </c>
      <c r="D156" s="278">
        <v>193.88</v>
      </c>
      <c r="E156" s="274">
        <f t="shared" si="5"/>
        <v>3.5863450183020021E-2</v>
      </c>
      <c r="F156" s="358"/>
      <c r="G156" s="358"/>
      <c r="H156" s="363">
        <v>43105</v>
      </c>
      <c r="I156" s="3">
        <v>10.35</v>
      </c>
      <c r="L156" s="382"/>
      <c r="M156" s="382"/>
      <c r="N156" s="382"/>
    </row>
    <row r="157" spans="1:14" ht="15.6" hidden="1" x14ac:dyDescent="0.3">
      <c r="A157" s="275">
        <v>43205</v>
      </c>
      <c r="B157" s="278">
        <v>45259.34</v>
      </c>
      <c r="C157" s="274">
        <f t="shared" si="4"/>
        <v>-1.7793293791413631E-2</v>
      </c>
      <c r="D157" s="278">
        <v>187.05</v>
      </c>
      <c r="E157" s="274">
        <f t="shared" si="5"/>
        <v>-2.2153222963747412E-2</v>
      </c>
      <c r="F157" s="358"/>
      <c r="G157" s="358"/>
      <c r="H157" s="363">
        <v>43112</v>
      </c>
      <c r="I157" s="3">
        <v>10.35</v>
      </c>
      <c r="L157" s="382"/>
      <c r="M157" s="382"/>
      <c r="N157" s="382"/>
    </row>
    <row r="158" spans="1:14" ht="15.6" hidden="1" x14ac:dyDescent="0.3">
      <c r="A158" s="275">
        <v>43198</v>
      </c>
      <c r="B158" s="278">
        <v>46071.86</v>
      </c>
      <c r="C158" s="274">
        <f t="shared" si="4"/>
        <v>-1.2205160102931411E-2</v>
      </c>
      <c r="D158" s="278">
        <v>191.24</v>
      </c>
      <c r="E158" s="274">
        <f t="shared" si="5"/>
        <v>-3.9661882698788812E-3</v>
      </c>
      <c r="F158" s="358"/>
      <c r="G158" s="358"/>
      <c r="H158" s="363">
        <v>43119</v>
      </c>
      <c r="I158" s="3">
        <v>10.35</v>
      </c>
      <c r="L158" s="382"/>
      <c r="M158" s="382"/>
      <c r="N158" s="382"/>
    </row>
    <row r="159" spans="1:14" ht="15.6" hidden="1" x14ac:dyDescent="0.3">
      <c r="A159" s="275">
        <v>43191</v>
      </c>
      <c r="B159" s="278">
        <v>46637.62</v>
      </c>
      <c r="C159" s="274">
        <f t="shared" si="4"/>
        <v>2.3370788299941467E-2</v>
      </c>
      <c r="D159" s="278">
        <v>192</v>
      </c>
      <c r="E159" s="274">
        <f t="shared" si="5"/>
        <v>1.0471299867295437E-2</v>
      </c>
      <c r="F159" s="358"/>
      <c r="G159" s="358"/>
      <c r="H159" s="363">
        <v>43126</v>
      </c>
      <c r="I159" s="3">
        <v>10.35</v>
      </c>
      <c r="L159" s="382"/>
      <c r="M159" s="382"/>
      <c r="N159" s="382"/>
    </row>
    <row r="160" spans="1:14" ht="15.6" hidden="1" x14ac:dyDescent="0.3">
      <c r="A160" s="275">
        <v>43184</v>
      </c>
      <c r="B160" s="278">
        <v>45560.3</v>
      </c>
      <c r="C160" s="274">
        <f t="shared" si="4"/>
        <v>1.1702903347397252E-2</v>
      </c>
      <c r="D160" s="278">
        <v>190</v>
      </c>
      <c r="E160" s="274">
        <f t="shared" si="5"/>
        <v>2.7208933767406972E-2</v>
      </c>
      <c r="F160" s="358"/>
      <c r="G160" s="358"/>
      <c r="H160" s="363">
        <v>43133</v>
      </c>
      <c r="I160" s="3">
        <v>10.35</v>
      </c>
      <c r="L160" s="382"/>
      <c r="M160" s="382"/>
      <c r="N160" s="382"/>
    </row>
    <row r="161" spans="1:14" ht="15.6" hidden="1" x14ac:dyDescent="0.3">
      <c r="A161" s="275">
        <v>43177</v>
      </c>
      <c r="B161" s="278">
        <v>45030.22</v>
      </c>
      <c r="C161" s="274">
        <f t="shared" si="4"/>
        <v>3.7722434176828655E-2</v>
      </c>
      <c r="D161" s="278">
        <v>184.9</v>
      </c>
      <c r="E161" s="274">
        <f t="shared" si="5"/>
        <v>-5.4068668524565055E-4</v>
      </c>
      <c r="F161" s="358"/>
      <c r="G161" s="358"/>
      <c r="H161" s="363">
        <v>43140</v>
      </c>
      <c r="I161" s="3">
        <v>10.35</v>
      </c>
      <c r="L161" s="382"/>
      <c r="M161" s="382"/>
      <c r="N161" s="382"/>
    </row>
    <row r="162" spans="1:14" ht="15.6" hidden="1" x14ac:dyDescent="0.3">
      <c r="A162" s="275">
        <v>43170</v>
      </c>
      <c r="B162" s="278">
        <v>43363.21</v>
      </c>
      <c r="C162" s="274">
        <f t="shared" si="4"/>
        <v>8.149443877306841E-3</v>
      </c>
      <c r="D162" s="278">
        <v>185</v>
      </c>
      <c r="E162" s="274">
        <f t="shared" si="5"/>
        <v>5.1483652532945791E-3</v>
      </c>
      <c r="F162" s="358"/>
      <c r="G162" s="358"/>
      <c r="H162" s="363">
        <v>43147</v>
      </c>
      <c r="I162" s="3">
        <v>10.35</v>
      </c>
      <c r="L162" s="382"/>
      <c r="M162" s="382"/>
      <c r="N162" s="382"/>
    </row>
    <row r="163" spans="1:14" ht="15.6" hidden="1" x14ac:dyDescent="0.3">
      <c r="A163" s="275">
        <v>43163</v>
      </c>
      <c r="B163" s="278">
        <v>43011.26</v>
      </c>
      <c r="C163" s="274">
        <f t="shared" si="4"/>
        <v>-1.6812275867247494E-2</v>
      </c>
      <c r="D163" s="278">
        <v>184.05</v>
      </c>
      <c r="E163" s="274">
        <f t="shared" si="5"/>
        <v>-3.7065968221599639E-2</v>
      </c>
      <c r="F163" s="358"/>
      <c r="G163" s="358"/>
      <c r="H163" s="363">
        <v>43154</v>
      </c>
      <c r="I163" s="3">
        <v>10.35</v>
      </c>
      <c r="L163" s="382"/>
      <c r="M163" s="382"/>
      <c r="N163" s="382"/>
    </row>
    <row r="164" spans="1:14" ht="15.6" hidden="1" x14ac:dyDescent="0.3">
      <c r="A164" s="275">
        <v>43156</v>
      </c>
      <c r="B164" s="278">
        <v>43740.49</v>
      </c>
      <c r="C164" s="274">
        <f t="shared" si="4"/>
        <v>1.087937556415703E-2</v>
      </c>
      <c r="D164" s="278">
        <v>191</v>
      </c>
      <c r="E164" s="274">
        <f t="shared" si="5"/>
        <v>-4.4403886463315178E-3</v>
      </c>
      <c r="F164" s="358"/>
      <c r="G164" s="358"/>
      <c r="H164" s="363">
        <v>43161</v>
      </c>
      <c r="I164" s="3">
        <v>10.35</v>
      </c>
      <c r="L164" s="382"/>
      <c r="M164" s="382"/>
      <c r="N164" s="382"/>
    </row>
    <row r="165" spans="1:14" ht="15.6" hidden="1" x14ac:dyDescent="0.3">
      <c r="A165" s="275">
        <v>43149</v>
      </c>
      <c r="B165" s="278">
        <v>43267.199999999997</v>
      </c>
      <c r="C165" s="274">
        <f t="shared" si="4"/>
        <v>-8.2836747175321131E-3</v>
      </c>
      <c r="D165" s="278">
        <v>191.85</v>
      </c>
      <c r="E165" s="274">
        <f t="shared" si="5"/>
        <v>-1.2020247313400904E-2</v>
      </c>
      <c r="F165" s="358"/>
      <c r="G165" s="358"/>
      <c r="H165" s="363">
        <v>43168</v>
      </c>
      <c r="I165" s="3">
        <v>10.35</v>
      </c>
      <c r="L165" s="382"/>
      <c r="M165" s="382"/>
      <c r="N165" s="382"/>
    </row>
    <row r="166" spans="1:14" ht="15.6" hidden="1" x14ac:dyDescent="0.3">
      <c r="A166" s="275">
        <v>43142</v>
      </c>
      <c r="B166" s="278">
        <v>43627.1</v>
      </c>
      <c r="C166" s="274">
        <f t="shared" si="4"/>
        <v>-4.1561935442133496E-3</v>
      </c>
      <c r="D166" s="278">
        <v>194.17</v>
      </c>
      <c r="E166" s="274">
        <f t="shared" si="5"/>
        <v>-3.4570844052713413E-2</v>
      </c>
      <c r="F166" s="358"/>
      <c r="G166" s="358"/>
      <c r="H166" s="363">
        <v>43175</v>
      </c>
      <c r="I166" s="3">
        <v>10.35</v>
      </c>
      <c r="L166" s="382"/>
      <c r="M166" s="382"/>
      <c r="N166" s="382"/>
    </row>
    <row r="167" spans="1:14" ht="15.6" hidden="1" x14ac:dyDescent="0.3">
      <c r="A167" s="275">
        <v>43135</v>
      </c>
      <c r="B167" s="278">
        <v>43808.800000000003</v>
      </c>
      <c r="C167" s="274">
        <f t="shared" si="4"/>
        <v>-1.1177054276285851E-2</v>
      </c>
      <c r="D167" s="278">
        <v>201</v>
      </c>
      <c r="E167" s="274">
        <f t="shared" si="5"/>
        <v>-5.1959738930711104E-2</v>
      </c>
      <c r="F167" s="358"/>
      <c r="G167" s="358"/>
      <c r="H167" s="363">
        <v>43182</v>
      </c>
      <c r="I167" s="3">
        <v>10.35</v>
      </c>
      <c r="L167" s="382"/>
      <c r="M167" s="382"/>
      <c r="N167" s="382"/>
    </row>
    <row r="168" spans="1:14" ht="15.6" hidden="1" x14ac:dyDescent="0.3">
      <c r="A168" s="275">
        <v>43128</v>
      </c>
      <c r="B168" s="278">
        <v>44301.2</v>
      </c>
      <c r="C168" s="274">
        <f t="shared" si="4"/>
        <v>-5.6257536335032696E-3</v>
      </c>
      <c r="D168" s="278">
        <v>211.72</v>
      </c>
      <c r="E168" s="274">
        <f t="shared" si="5"/>
        <v>7.6181069557049466E-2</v>
      </c>
      <c r="F168" s="358"/>
      <c r="G168" s="358"/>
      <c r="H168" s="363">
        <v>43189</v>
      </c>
      <c r="I168" s="3">
        <v>10.35</v>
      </c>
      <c r="L168" s="382"/>
      <c r="M168" s="382"/>
      <c r="N168" s="382"/>
    </row>
    <row r="169" spans="1:14" ht="15.6" hidden="1" x14ac:dyDescent="0.3">
      <c r="A169" s="275">
        <v>43121</v>
      </c>
      <c r="B169" s="278">
        <v>44551.13</v>
      </c>
      <c r="C169" s="274">
        <f t="shared" si="4"/>
        <v>8.3918032838339162E-3</v>
      </c>
      <c r="D169" s="278">
        <v>196.19</v>
      </c>
      <c r="E169" s="274">
        <f t="shared" si="5"/>
        <v>2.9536375254130092E-2</v>
      </c>
      <c r="F169" s="358"/>
      <c r="G169" s="358"/>
      <c r="H169" s="363">
        <v>43196</v>
      </c>
      <c r="I169" s="3">
        <v>10.35</v>
      </c>
      <c r="L169" s="382"/>
      <c r="M169" s="382"/>
      <c r="N169" s="382"/>
    </row>
    <row r="170" spans="1:14" ht="15.6" hidden="1" x14ac:dyDescent="0.3">
      <c r="A170" s="275">
        <v>43114</v>
      </c>
      <c r="B170" s="278">
        <v>44178.83</v>
      </c>
      <c r="C170" s="274">
        <f t="shared" si="4"/>
        <v>2.8588183897234418E-2</v>
      </c>
      <c r="D170" s="278">
        <v>190.48</v>
      </c>
      <c r="E170" s="274">
        <f t="shared" si="5"/>
        <v>4.0334310713391629E-2</v>
      </c>
      <c r="F170" s="358"/>
      <c r="G170" s="358"/>
      <c r="H170" s="363">
        <v>43203</v>
      </c>
      <c r="I170" s="3">
        <v>10.35</v>
      </c>
      <c r="L170" s="382"/>
      <c r="M170" s="382"/>
      <c r="N170" s="382"/>
    </row>
    <row r="171" spans="1:14" ht="15.6" hidden="1" x14ac:dyDescent="0.3">
      <c r="A171" s="275">
        <v>43107</v>
      </c>
      <c r="B171" s="278">
        <v>42933.72</v>
      </c>
      <c r="C171" s="274">
        <f t="shared" si="4"/>
        <v>9.5891439077576499E-3</v>
      </c>
      <c r="D171" s="278">
        <v>182.95</v>
      </c>
      <c r="E171" s="274">
        <f t="shared" si="5"/>
        <v>-8.9784306035359963E-3</v>
      </c>
      <c r="F171" s="358"/>
      <c r="G171" s="358"/>
      <c r="H171" s="363">
        <v>43210</v>
      </c>
      <c r="I171" s="3">
        <v>10.35</v>
      </c>
      <c r="L171" s="382"/>
      <c r="M171" s="382"/>
      <c r="N171" s="382"/>
    </row>
    <row r="172" spans="1:14" ht="15.6" hidden="1" x14ac:dyDescent="0.3">
      <c r="A172" s="275">
        <v>43100</v>
      </c>
      <c r="B172" s="278">
        <v>42523.99</v>
      </c>
      <c r="C172" s="274">
        <f t="shared" si="4"/>
        <v>4.9470858746926374E-2</v>
      </c>
      <c r="D172" s="278">
        <v>184.6</v>
      </c>
      <c r="E172" s="274">
        <f t="shared" si="5"/>
        <v>9.4941883603361685E-2</v>
      </c>
      <c r="F172" s="358"/>
      <c r="G172" s="358"/>
      <c r="H172" s="363">
        <v>43217</v>
      </c>
      <c r="I172" s="3">
        <v>10.35</v>
      </c>
      <c r="L172" s="382"/>
      <c r="M172" s="382"/>
      <c r="N172" s="382"/>
    </row>
    <row r="173" spans="1:14" ht="15.6" hidden="1" x14ac:dyDescent="0.3">
      <c r="A173" s="275">
        <v>43093</v>
      </c>
      <c r="B173" s="278">
        <v>40471.480000000003</v>
      </c>
      <c r="C173" s="274">
        <f t="shared" si="4"/>
        <v>2.611597856492814E-2</v>
      </c>
      <c r="D173" s="278">
        <v>167.88</v>
      </c>
      <c r="E173" s="274">
        <f t="shared" si="5"/>
        <v>3.6641245605900076E-2</v>
      </c>
      <c r="F173" s="358"/>
      <c r="G173" s="358"/>
      <c r="H173" s="363">
        <v>43224</v>
      </c>
      <c r="I173" s="3">
        <v>10.35</v>
      </c>
      <c r="L173" s="382"/>
      <c r="M173" s="382"/>
      <c r="N173" s="382"/>
    </row>
    <row r="174" spans="1:14" ht="15.6" hidden="1" x14ac:dyDescent="0.3">
      <c r="A174" s="275">
        <v>43086</v>
      </c>
      <c r="B174" s="278">
        <v>39428.21</v>
      </c>
      <c r="C174" s="274">
        <f t="shared" si="4"/>
        <v>2.0040860753613665E-2</v>
      </c>
      <c r="D174" s="278">
        <v>161.84</v>
      </c>
      <c r="E174" s="274">
        <f t="shared" si="5"/>
        <v>2.10305019677889E-3</v>
      </c>
      <c r="F174" s="358"/>
      <c r="G174" s="358"/>
      <c r="H174" s="363">
        <v>43231</v>
      </c>
      <c r="I174" s="3">
        <v>10.35</v>
      </c>
      <c r="L174" s="382"/>
      <c r="M174" s="382"/>
      <c r="N174" s="382"/>
    </row>
    <row r="175" spans="1:14" ht="15.6" hidden="1" x14ac:dyDescent="0.3">
      <c r="A175" s="275">
        <v>43079</v>
      </c>
      <c r="B175" s="278">
        <v>38645.9</v>
      </c>
      <c r="C175" s="274">
        <f t="shared" si="4"/>
        <v>-1.1170137975039903E-2</v>
      </c>
      <c r="D175" s="278">
        <v>161.5</v>
      </c>
      <c r="E175" s="274">
        <f t="shared" si="5"/>
        <v>-8.0280831260802862E-2</v>
      </c>
      <c r="F175" s="358"/>
      <c r="G175" s="358"/>
      <c r="H175" s="363">
        <v>43238</v>
      </c>
      <c r="I175" s="3">
        <v>10.35</v>
      </c>
      <c r="L175" s="382"/>
      <c r="M175" s="382"/>
      <c r="N175" s="382"/>
    </row>
    <row r="176" spans="1:14" ht="15.6" hidden="1" x14ac:dyDescent="0.3">
      <c r="A176" s="275">
        <v>43072</v>
      </c>
      <c r="B176" s="278">
        <v>39080</v>
      </c>
      <c r="C176" s="274">
        <f t="shared" si="4"/>
        <v>-2.3527593404644571E-2</v>
      </c>
      <c r="D176" s="278">
        <v>175</v>
      </c>
      <c r="E176" s="274">
        <f t="shared" si="5"/>
        <v>-1.2775191488722805E-2</v>
      </c>
      <c r="F176" s="358"/>
      <c r="G176" s="358"/>
      <c r="H176" s="363">
        <v>43245</v>
      </c>
      <c r="I176" s="3">
        <v>10.35</v>
      </c>
      <c r="L176" s="382"/>
      <c r="M176" s="382"/>
      <c r="N176" s="382"/>
    </row>
    <row r="177" spans="1:14" ht="15.6" hidden="1" x14ac:dyDescent="0.3">
      <c r="A177" s="275">
        <v>43065</v>
      </c>
      <c r="B177" s="278">
        <v>40010.36</v>
      </c>
      <c r="C177" s="274">
        <f t="shared" si="4"/>
        <v>-5.9320793994876104E-3</v>
      </c>
      <c r="D177" s="278">
        <v>177.25</v>
      </c>
      <c r="E177" s="274">
        <f t="shared" si="5"/>
        <v>-9.8246404285180916E-3</v>
      </c>
      <c r="F177" s="358"/>
      <c r="G177" s="358"/>
      <c r="H177" s="363">
        <v>43252</v>
      </c>
      <c r="I177" s="3">
        <v>10.35</v>
      </c>
      <c r="L177" s="382"/>
      <c r="M177" s="382"/>
      <c r="N177" s="382"/>
    </row>
    <row r="178" spans="1:14" ht="15.6" hidden="1" x14ac:dyDescent="0.3">
      <c r="A178" s="275">
        <v>43058</v>
      </c>
      <c r="B178" s="278">
        <v>40248.410000000003</v>
      </c>
      <c r="C178" s="274">
        <f t="shared" si="4"/>
        <v>-1.4699225026724624E-2</v>
      </c>
      <c r="D178" s="278">
        <v>179</v>
      </c>
      <c r="E178" s="274">
        <f t="shared" si="5"/>
        <v>0</v>
      </c>
      <c r="F178" s="358"/>
      <c r="G178" s="358"/>
      <c r="H178" s="363">
        <v>43259</v>
      </c>
      <c r="I178" s="3">
        <v>10.35</v>
      </c>
      <c r="L178" s="382"/>
      <c r="M178" s="382"/>
      <c r="N178" s="382"/>
    </row>
    <row r="179" spans="1:14" ht="15.6" hidden="1" x14ac:dyDescent="0.3">
      <c r="A179" s="275">
        <v>43051</v>
      </c>
      <c r="B179" s="278">
        <v>40844.400000000001</v>
      </c>
      <c r="C179" s="274">
        <f t="shared" si="4"/>
        <v>-1.4373103083118368E-2</v>
      </c>
      <c r="D179" s="278">
        <v>179</v>
      </c>
      <c r="E179" s="274">
        <f t="shared" si="5"/>
        <v>-3.2970019237569828E-2</v>
      </c>
      <c r="F179" s="358"/>
      <c r="G179" s="358"/>
      <c r="H179" s="363">
        <v>43266</v>
      </c>
      <c r="I179" s="3">
        <v>10.35</v>
      </c>
      <c r="L179" s="382"/>
      <c r="M179" s="382"/>
      <c r="N179" s="382"/>
    </row>
    <row r="180" spans="1:14" ht="15.6" hidden="1" x14ac:dyDescent="0.3">
      <c r="A180" s="275">
        <v>43044</v>
      </c>
      <c r="B180" s="278">
        <v>41435.699999999997</v>
      </c>
      <c r="C180" s="274">
        <f t="shared" si="4"/>
        <v>9.0110028305549657E-3</v>
      </c>
      <c r="D180" s="278">
        <v>185</v>
      </c>
      <c r="E180" s="274">
        <f t="shared" si="5"/>
        <v>0</v>
      </c>
      <c r="F180" s="358"/>
      <c r="G180" s="358"/>
      <c r="H180" s="363">
        <v>43273</v>
      </c>
      <c r="I180" s="3">
        <v>10.35</v>
      </c>
      <c r="L180" s="382"/>
      <c r="M180" s="382"/>
      <c r="N180" s="382"/>
    </row>
    <row r="181" spans="1:14" ht="15.6" hidden="1" x14ac:dyDescent="0.3">
      <c r="A181" s="275">
        <v>43037</v>
      </c>
      <c r="B181" s="278">
        <v>41064</v>
      </c>
      <c r="C181" s="274">
        <f t="shared" si="4"/>
        <v>-1.0076744750030803E-3</v>
      </c>
      <c r="D181" s="278">
        <v>185</v>
      </c>
      <c r="E181" s="274">
        <f t="shared" si="5"/>
        <v>6.7796869853787691E-3</v>
      </c>
      <c r="F181" s="358"/>
      <c r="G181" s="358"/>
      <c r="H181" s="363">
        <v>43280</v>
      </c>
      <c r="I181" s="3">
        <v>10.35</v>
      </c>
      <c r="L181" s="382"/>
      <c r="M181" s="382"/>
      <c r="N181" s="382"/>
    </row>
    <row r="182" spans="1:14" ht="15.6" hidden="1" x14ac:dyDescent="0.3">
      <c r="A182" s="275">
        <v>43030</v>
      </c>
      <c r="B182" s="278">
        <v>41105.4</v>
      </c>
      <c r="C182" s="274">
        <f t="shared" si="4"/>
        <v>-2.3620551120521235E-2</v>
      </c>
      <c r="D182" s="278">
        <v>183.75</v>
      </c>
      <c r="E182" s="274">
        <f t="shared" si="5"/>
        <v>3.7426405519116815E-2</v>
      </c>
      <c r="F182" s="358"/>
      <c r="G182" s="358"/>
      <c r="H182" s="363">
        <v>43287</v>
      </c>
      <c r="I182" s="3">
        <v>10.35</v>
      </c>
      <c r="L182" s="382"/>
      <c r="M182" s="382"/>
      <c r="N182" s="382"/>
    </row>
    <row r="183" spans="1:14" ht="15.6" hidden="1" x14ac:dyDescent="0.3">
      <c r="A183" s="275">
        <v>43023</v>
      </c>
      <c r="B183" s="278">
        <v>42087.89</v>
      </c>
      <c r="C183" s="274">
        <f t="shared" si="4"/>
        <v>5.4718451893333873E-2</v>
      </c>
      <c r="D183" s="278">
        <v>177</v>
      </c>
      <c r="E183" s="274">
        <f t="shared" si="5"/>
        <v>6.4161944217285855E-2</v>
      </c>
      <c r="F183" s="358"/>
      <c r="G183" s="358"/>
      <c r="H183" s="363">
        <v>43294</v>
      </c>
      <c r="I183" s="3">
        <v>10.35</v>
      </c>
      <c r="L183" s="382"/>
      <c r="M183" s="382"/>
      <c r="N183" s="382"/>
    </row>
    <row r="184" spans="1:14" ht="15.6" hidden="1" x14ac:dyDescent="0.3">
      <c r="A184" s="275">
        <v>43016</v>
      </c>
      <c r="B184" s="278">
        <v>39846.78</v>
      </c>
      <c r="C184" s="274">
        <f t="shared" si="4"/>
        <v>-3.6125697166737449E-2</v>
      </c>
      <c r="D184" s="278">
        <v>166</v>
      </c>
      <c r="E184" s="274">
        <f t="shared" si="5"/>
        <v>-4.9936953285938633E-2</v>
      </c>
      <c r="F184" s="358"/>
      <c r="G184" s="358"/>
      <c r="H184" s="363">
        <v>43301</v>
      </c>
      <c r="I184" s="3">
        <v>10.35</v>
      </c>
      <c r="L184" s="382"/>
      <c r="M184" s="382"/>
      <c r="N184" s="382"/>
    </row>
    <row r="185" spans="1:14" ht="15.6" hidden="1" x14ac:dyDescent="0.3">
      <c r="A185" s="275">
        <v>43009</v>
      </c>
      <c r="B185" s="278">
        <v>41312.589999999997</v>
      </c>
      <c r="C185" s="274">
        <f t="shared" si="4"/>
        <v>-2.6199674289944547E-2</v>
      </c>
      <c r="D185" s="278">
        <v>174.5</v>
      </c>
      <c r="E185" s="274">
        <f t="shared" si="5"/>
        <v>-5.3011015966503712E-2</v>
      </c>
      <c r="F185" s="358"/>
      <c r="G185" s="358"/>
      <c r="H185" s="363">
        <v>43308</v>
      </c>
      <c r="I185" s="3">
        <v>10.35</v>
      </c>
      <c r="L185" s="382"/>
      <c r="M185" s="382"/>
      <c r="N185" s="382"/>
    </row>
    <row r="186" spans="1:14" ht="15.6" hidden="1" x14ac:dyDescent="0.3">
      <c r="A186" s="275">
        <v>43002</v>
      </c>
      <c r="B186" s="278">
        <v>42409.27</v>
      </c>
      <c r="C186" s="274">
        <f t="shared" si="4"/>
        <v>-8.0066694004627299E-3</v>
      </c>
      <c r="D186" s="278">
        <v>184</v>
      </c>
      <c r="E186" s="274">
        <f t="shared" si="5"/>
        <v>-2.7393098730196044E-2</v>
      </c>
      <c r="F186" s="358"/>
      <c r="G186" s="358"/>
      <c r="H186" s="363">
        <v>43315</v>
      </c>
      <c r="I186" s="3">
        <v>10.35</v>
      </c>
      <c r="L186" s="382"/>
      <c r="M186" s="382"/>
      <c r="N186" s="382"/>
    </row>
    <row r="187" spans="1:14" ht="15.6" hidden="1" x14ac:dyDescent="0.3">
      <c r="A187" s="275">
        <v>42995</v>
      </c>
      <c r="B187" s="278">
        <v>42750.19</v>
      </c>
      <c r="C187" s="274">
        <f t="shared" si="4"/>
        <v>-8.651189060889993E-4</v>
      </c>
      <c r="D187" s="278">
        <v>189.11</v>
      </c>
      <c r="E187" s="274">
        <f t="shared" si="5"/>
        <v>8.6093621725601255E-2</v>
      </c>
      <c r="F187" s="358"/>
      <c r="G187" s="358"/>
      <c r="H187" s="363">
        <v>43322</v>
      </c>
      <c r="I187" s="3">
        <v>10.35</v>
      </c>
      <c r="L187" s="382"/>
      <c r="M187" s="382"/>
      <c r="N187" s="382"/>
    </row>
    <row r="188" spans="1:14" ht="15.6" hidden="1" x14ac:dyDescent="0.3">
      <c r="A188" s="275">
        <v>42988</v>
      </c>
      <c r="B188" s="278">
        <v>42787.19</v>
      </c>
      <c r="C188" s="274">
        <f t="shared" si="4"/>
        <v>3.2933240514500917E-2</v>
      </c>
      <c r="D188" s="278">
        <v>173.51</v>
      </c>
      <c r="E188" s="274">
        <f t="shared" si="5"/>
        <v>3.5251883348459273E-2</v>
      </c>
      <c r="F188" s="358"/>
      <c r="G188" s="358"/>
      <c r="H188" s="363">
        <v>43329</v>
      </c>
      <c r="I188" s="3">
        <v>10.35</v>
      </c>
      <c r="L188" s="382"/>
      <c r="M188" s="382"/>
      <c r="N188" s="382"/>
    </row>
    <row r="189" spans="1:14" ht="15.6" hidden="1" x14ac:dyDescent="0.3">
      <c r="A189" s="275">
        <v>42981</v>
      </c>
      <c r="B189" s="278">
        <v>41401.019999999997</v>
      </c>
      <c r="C189" s="274">
        <f t="shared" si="4"/>
        <v>4.6976160499331236E-3</v>
      </c>
      <c r="D189" s="278">
        <v>167.5</v>
      </c>
      <c r="E189" s="274">
        <f t="shared" si="5"/>
        <v>2.2947866888031965E-2</v>
      </c>
      <c r="F189" s="358"/>
      <c r="G189" s="358"/>
      <c r="H189" s="363">
        <v>43336</v>
      </c>
      <c r="I189" s="3">
        <v>10.35</v>
      </c>
      <c r="L189" s="382"/>
      <c r="M189" s="382"/>
      <c r="N189" s="382"/>
    </row>
    <row r="190" spans="1:14" ht="15.6" hidden="1" x14ac:dyDescent="0.3">
      <c r="A190" s="275">
        <v>42974</v>
      </c>
      <c r="B190" s="278">
        <v>41206.99</v>
      </c>
      <c r="C190" s="274">
        <f t="shared" si="4"/>
        <v>-3.422591813222399E-2</v>
      </c>
      <c r="D190" s="278">
        <v>163.69999999999999</v>
      </c>
      <c r="E190" s="274">
        <f t="shared" si="5"/>
        <v>-4.7713283526340584E-2</v>
      </c>
      <c r="F190" s="358"/>
      <c r="G190" s="358"/>
      <c r="H190" s="363">
        <v>43343</v>
      </c>
      <c r="I190" s="3">
        <v>10.35</v>
      </c>
      <c r="L190" s="382"/>
      <c r="M190" s="382"/>
      <c r="N190" s="382"/>
    </row>
    <row r="191" spans="1:14" ht="15.6" hidden="1" x14ac:dyDescent="0.3">
      <c r="A191" s="275">
        <v>42967</v>
      </c>
      <c r="B191" s="278">
        <v>42641.75</v>
      </c>
      <c r="C191" s="274">
        <f t="shared" si="4"/>
        <v>-1.0187426833081555E-2</v>
      </c>
      <c r="D191" s="278">
        <v>171.7</v>
      </c>
      <c r="E191" s="274">
        <f t="shared" si="5"/>
        <v>-3.6034782388655401E-2</v>
      </c>
      <c r="F191" s="358"/>
      <c r="G191" s="358"/>
      <c r="H191" s="363">
        <v>43350</v>
      </c>
      <c r="I191" s="3">
        <v>10.35</v>
      </c>
      <c r="L191" s="382"/>
      <c r="M191" s="382"/>
      <c r="N191" s="382"/>
    </row>
    <row r="192" spans="1:14" ht="15.6" hidden="1" x14ac:dyDescent="0.3">
      <c r="A192" s="275">
        <v>42960</v>
      </c>
      <c r="B192" s="278">
        <v>43078.38</v>
      </c>
      <c r="C192" s="274">
        <f t="shared" si="4"/>
        <v>-5.0031669194701485E-2</v>
      </c>
      <c r="D192" s="278">
        <v>178</v>
      </c>
      <c r="E192" s="274">
        <f t="shared" si="5"/>
        <v>-7.5711821735696364E-2</v>
      </c>
      <c r="F192" s="358"/>
      <c r="G192" s="358"/>
      <c r="H192" s="363">
        <v>43357</v>
      </c>
      <c r="I192" s="3">
        <v>10.35</v>
      </c>
      <c r="L192" s="382"/>
      <c r="M192" s="382"/>
      <c r="N192" s="382"/>
    </row>
    <row r="193" spans="1:14" ht="15.6" hidden="1" x14ac:dyDescent="0.3">
      <c r="A193" s="275">
        <v>42953</v>
      </c>
      <c r="B193" s="278">
        <v>45288.49</v>
      </c>
      <c r="C193" s="274">
        <f t="shared" si="4"/>
        <v>-3.448212669346179E-2</v>
      </c>
      <c r="D193" s="278">
        <v>192</v>
      </c>
      <c r="E193" s="274">
        <f t="shared" si="5"/>
        <v>-7.3821472783363096E-2</v>
      </c>
      <c r="F193" s="358"/>
      <c r="G193" s="358"/>
      <c r="H193" s="363">
        <v>43364</v>
      </c>
      <c r="I193" s="3">
        <v>10.35</v>
      </c>
      <c r="L193" s="382"/>
      <c r="M193" s="382"/>
      <c r="N193" s="382"/>
    </row>
    <row r="194" spans="1:14" ht="15.6" hidden="1" x14ac:dyDescent="0.3">
      <c r="A194" s="275">
        <v>42946</v>
      </c>
      <c r="B194" s="278">
        <v>46877.37</v>
      </c>
      <c r="C194" s="274">
        <f t="shared" si="4"/>
        <v>2.0807868782671744E-2</v>
      </c>
      <c r="D194" s="278">
        <v>206.71</v>
      </c>
      <c r="E194" s="274">
        <f t="shared" si="5"/>
        <v>4.0527744683899504E-2</v>
      </c>
      <c r="F194" s="358"/>
      <c r="G194" s="358"/>
      <c r="H194" s="363">
        <v>43371</v>
      </c>
      <c r="I194" s="3">
        <v>10.35</v>
      </c>
      <c r="L194" s="382"/>
      <c r="M194" s="382"/>
      <c r="N194" s="382"/>
    </row>
    <row r="195" spans="1:14" ht="15.6" hidden="1" x14ac:dyDescent="0.3">
      <c r="A195" s="275">
        <v>42939</v>
      </c>
      <c r="B195" s="278">
        <v>45912.03</v>
      </c>
      <c r="C195" s="274">
        <f t="shared" si="4"/>
        <v>1.3543990469340827E-2</v>
      </c>
      <c r="D195" s="278">
        <v>198.5</v>
      </c>
      <c r="E195" s="274">
        <f t="shared" si="5"/>
        <v>8.1302947285824143E-2</v>
      </c>
      <c r="F195" s="358"/>
      <c r="G195" s="358"/>
      <c r="H195" s="363">
        <v>43378</v>
      </c>
      <c r="I195" s="3">
        <v>10.35</v>
      </c>
      <c r="L195" s="382"/>
      <c r="M195" s="382"/>
      <c r="N195" s="382"/>
    </row>
    <row r="196" spans="1:14" ht="15.6" hidden="1" x14ac:dyDescent="0.3">
      <c r="A196" s="275">
        <v>42932</v>
      </c>
      <c r="B196" s="278">
        <v>45294.39</v>
      </c>
      <c r="C196" s="274">
        <f t="shared" ref="C196:C259" si="6">LN(B196/B197)</f>
        <v>2.1353716917896719E-2</v>
      </c>
      <c r="D196" s="278">
        <v>183</v>
      </c>
      <c r="E196" s="274">
        <f t="shared" ref="E196:E259" si="7">LN(D196/D197)</f>
        <v>2.1876908277805907E-2</v>
      </c>
      <c r="F196" s="358"/>
      <c r="G196" s="358"/>
      <c r="H196" s="363">
        <v>43385</v>
      </c>
      <c r="I196" s="3">
        <v>10.35</v>
      </c>
      <c r="L196" s="382"/>
      <c r="M196" s="382"/>
      <c r="N196" s="382"/>
    </row>
    <row r="197" spans="1:14" ht="15.6" hidden="1" x14ac:dyDescent="0.3">
      <c r="A197" s="275">
        <v>42925</v>
      </c>
      <c r="B197" s="278">
        <v>44337.440000000002</v>
      </c>
      <c r="C197" s="274">
        <f t="shared" si="6"/>
        <v>-1.9757544210951602E-2</v>
      </c>
      <c r="D197" s="278">
        <v>179.04</v>
      </c>
      <c r="E197" s="274">
        <f t="shared" si="7"/>
        <v>-3.8137429149586198E-2</v>
      </c>
      <c r="F197" s="358"/>
      <c r="G197" s="358"/>
      <c r="H197" s="363">
        <v>43392</v>
      </c>
      <c r="I197" s="3">
        <v>10.35</v>
      </c>
      <c r="L197" s="382"/>
      <c r="M197" s="382"/>
      <c r="N197" s="382"/>
    </row>
    <row r="198" spans="1:14" ht="15.6" hidden="1" x14ac:dyDescent="0.3">
      <c r="A198" s="275">
        <v>42918</v>
      </c>
      <c r="B198" s="278">
        <v>45222.15</v>
      </c>
      <c r="C198" s="274">
        <f t="shared" si="6"/>
        <v>-2.9268402754262936E-2</v>
      </c>
      <c r="D198" s="278">
        <v>186</v>
      </c>
      <c r="E198" s="274">
        <f t="shared" si="7"/>
        <v>-5.7050881176798518E-2</v>
      </c>
      <c r="F198" s="358"/>
      <c r="G198" s="358"/>
      <c r="H198" s="363">
        <v>43399</v>
      </c>
      <c r="I198" s="3">
        <v>10.35</v>
      </c>
      <c r="L198" s="382"/>
      <c r="M198" s="382"/>
      <c r="N198" s="382"/>
    </row>
    <row r="199" spans="1:14" ht="15.6" hidden="1" x14ac:dyDescent="0.3">
      <c r="A199" s="275">
        <v>42911</v>
      </c>
      <c r="B199" s="278">
        <v>46565.29</v>
      </c>
      <c r="C199" s="274">
        <f t="shared" si="6"/>
        <v>5.0158559200261252E-3</v>
      </c>
      <c r="D199" s="278">
        <v>196.92</v>
      </c>
      <c r="E199" s="274">
        <f t="shared" si="7"/>
        <v>-1.6769031058468862E-2</v>
      </c>
      <c r="F199" s="358"/>
      <c r="G199" s="358"/>
      <c r="H199" s="363">
        <v>43406</v>
      </c>
      <c r="I199" s="3">
        <v>10.35</v>
      </c>
      <c r="L199" s="382"/>
      <c r="M199" s="382"/>
      <c r="N199" s="382"/>
    </row>
    <row r="200" spans="1:14" ht="15.6" hidden="1" x14ac:dyDescent="0.3">
      <c r="A200" s="275">
        <v>42904</v>
      </c>
      <c r="B200" s="278">
        <v>46332.31</v>
      </c>
      <c r="C200" s="274">
        <f t="shared" si="6"/>
        <v>-1.1294144886191607E-2</v>
      </c>
      <c r="D200" s="278">
        <v>200.25</v>
      </c>
      <c r="E200" s="274">
        <f t="shared" si="7"/>
        <v>-4.6334437577236296E-3</v>
      </c>
      <c r="F200" s="358"/>
      <c r="G200" s="358"/>
      <c r="H200" s="363">
        <v>43413</v>
      </c>
      <c r="I200" s="3">
        <v>10.35</v>
      </c>
      <c r="L200" s="382"/>
      <c r="M200" s="382"/>
      <c r="N200" s="382"/>
    </row>
    <row r="201" spans="1:14" ht="15.6" hidden="1" x14ac:dyDescent="0.3">
      <c r="A201" s="275">
        <v>42897</v>
      </c>
      <c r="B201" s="278">
        <v>46858.559999999998</v>
      </c>
      <c r="C201" s="274">
        <f t="shared" si="6"/>
        <v>-5.538265735805066E-2</v>
      </c>
      <c r="D201" s="278">
        <v>201.18</v>
      </c>
      <c r="E201" s="274">
        <f t="shared" si="7"/>
        <v>-5.4741958658279299E-2</v>
      </c>
      <c r="F201" s="358"/>
      <c r="G201" s="358"/>
      <c r="H201" s="363">
        <v>43420</v>
      </c>
      <c r="I201" s="3">
        <v>10.35</v>
      </c>
      <c r="L201" s="382"/>
      <c r="M201" s="382"/>
      <c r="N201" s="382"/>
    </row>
    <row r="202" spans="1:14" ht="15.6" hidden="1" x14ac:dyDescent="0.3">
      <c r="A202" s="275">
        <v>42890</v>
      </c>
      <c r="B202" s="278">
        <v>49526.92</v>
      </c>
      <c r="C202" s="274">
        <f t="shared" si="6"/>
        <v>1.9813005544356801E-2</v>
      </c>
      <c r="D202" s="278">
        <v>212.5</v>
      </c>
      <c r="E202" s="274">
        <f t="shared" si="7"/>
        <v>2.3557136924589835E-3</v>
      </c>
      <c r="F202" s="358"/>
      <c r="G202" s="358"/>
      <c r="H202" s="363">
        <v>43427</v>
      </c>
      <c r="I202" s="3">
        <v>10.35</v>
      </c>
      <c r="L202" s="382"/>
      <c r="M202" s="382"/>
      <c r="N202" s="382"/>
    </row>
    <row r="203" spans="1:14" ht="15.6" hidden="1" x14ac:dyDescent="0.3">
      <c r="A203" s="275">
        <v>42883</v>
      </c>
      <c r="B203" s="278">
        <v>48555.3</v>
      </c>
      <c r="C203" s="274">
        <f t="shared" si="6"/>
        <v>-8.0713470175269225E-2</v>
      </c>
      <c r="D203" s="278">
        <v>212</v>
      </c>
      <c r="E203" s="274">
        <f t="shared" si="7"/>
        <v>-4.1576426845740332E-2</v>
      </c>
      <c r="F203" s="358"/>
      <c r="G203" s="358"/>
      <c r="H203" s="363">
        <v>43434</v>
      </c>
      <c r="I203" s="3">
        <v>10.35</v>
      </c>
      <c r="L203" s="382"/>
      <c r="M203" s="382"/>
      <c r="N203" s="382"/>
    </row>
    <row r="204" spans="1:14" ht="15.6" hidden="1" x14ac:dyDescent="0.3">
      <c r="A204" s="275">
        <v>42876</v>
      </c>
      <c r="B204" s="278">
        <v>52636.87</v>
      </c>
      <c r="C204" s="274">
        <f t="shared" si="6"/>
        <v>3.6662263508726339E-2</v>
      </c>
      <c r="D204" s="278">
        <v>221</v>
      </c>
      <c r="E204" s="274">
        <f t="shared" si="7"/>
        <v>2.7059665244068502E-2</v>
      </c>
      <c r="F204" s="358"/>
      <c r="G204" s="358"/>
      <c r="H204" s="363">
        <v>43441</v>
      </c>
      <c r="I204" s="3">
        <v>10.35</v>
      </c>
      <c r="L204" s="382"/>
      <c r="M204" s="382"/>
      <c r="N204" s="382"/>
    </row>
    <row r="205" spans="1:14" ht="15.6" hidden="1" x14ac:dyDescent="0.3">
      <c r="A205" s="275">
        <v>42869</v>
      </c>
      <c r="B205" s="278">
        <v>50742.03</v>
      </c>
      <c r="C205" s="274">
        <f t="shared" si="6"/>
        <v>-1.9687455277766604E-2</v>
      </c>
      <c r="D205" s="278">
        <v>215.1</v>
      </c>
      <c r="E205" s="274">
        <f t="shared" si="7"/>
        <v>-2.4114155014311613E-2</v>
      </c>
      <c r="F205" s="358"/>
      <c r="G205" s="358"/>
      <c r="H205" s="363">
        <v>43448</v>
      </c>
      <c r="I205" s="3">
        <v>10.35</v>
      </c>
      <c r="L205" s="382"/>
      <c r="M205" s="382"/>
      <c r="N205" s="382"/>
    </row>
    <row r="206" spans="1:14" ht="15.6" hidden="1" x14ac:dyDescent="0.3">
      <c r="A206" s="275">
        <v>42862</v>
      </c>
      <c r="B206" s="278">
        <v>51750.91</v>
      </c>
      <c r="C206" s="274">
        <f t="shared" si="6"/>
        <v>3.7400852376991187E-2</v>
      </c>
      <c r="D206" s="278">
        <v>220.35</v>
      </c>
      <c r="E206" s="274">
        <f t="shared" si="7"/>
        <v>-2.9455102297568031E-3</v>
      </c>
      <c r="F206" s="358"/>
      <c r="G206" s="358"/>
      <c r="H206" s="363">
        <v>43455</v>
      </c>
      <c r="I206" s="3">
        <v>10.35</v>
      </c>
      <c r="L206" s="382"/>
      <c r="M206" s="382"/>
      <c r="N206" s="382"/>
    </row>
    <row r="207" spans="1:14" ht="15.6" hidden="1" x14ac:dyDescent="0.3">
      <c r="A207" s="275">
        <v>42855</v>
      </c>
      <c r="B207" s="278">
        <v>49851.13</v>
      </c>
      <c r="C207" s="274">
        <f t="shared" si="6"/>
        <v>1.1098827694837344E-2</v>
      </c>
      <c r="D207" s="278">
        <v>221</v>
      </c>
      <c r="E207" s="274">
        <f t="shared" si="7"/>
        <v>-8.8745317445264194E-3</v>
      </c>
      <c r="F207" s="358"/>
      <c r="G207" s="358"/>
      <c r="H207" s="363">
        <v>43462</v>
      </c>
      <c r="I207" s="3">
        <v>10.35</v>
      </c>
      <c r="L207" s="382"/>
      <c r="M207" s="382"/>
      <c r="N207" s="382"/>
    </row>
    <row r="208" spans="1:14" ht="15.6" hidden="1" x14ac:dyDescent="0.3">
      <c r="A208" s="275">
        <v>42848</v>
      </c>
      <c r="B208" s="278">
        <v>49300.9</v>
      </c>
      <c r="C208" s="274">
        <f t="shared" si="6"/>
        <v>-8.2366257641238293E-3</v>
      </c>
      <c r="D208" s="278">
        <v>222.97</v>
      </c>
      <c r="E208" s="274">
        <f t="shared" si="7"/>
        <v>7.0461154597152173E-2</v>
      </c>
      <c r="F208" s="358"/>
      <c r="G208" s="358"/>
      <c r="H208" s="363">
        <v>43469</v>
      </c>
      <c r="I208" s="3">
        <v>10.35</v>
      </c>
      <c r="L208" s="382"/>
      <c r="M208" s="382"/>
      <c r="N208" s="382"/>
    </row>
    <row r="209" spans="1:14" ht="15.6" hidden="1" x14ac:dyDescent="0.3">
      <c r="A209" s="275">
        <v>42841</v>
      </c>
      <c r="B209" s="278">
        <v>49708.65</v>
      </c>
      <c r="C209" s="274">
        <f t="shared" si="6"/>
        <v>4.3828249926889086E-2</v>
      </c>
      <c r="D209" s="278">
        <v>207.8</v>
      </c>
      <c r="E209" s="274">
        <f t="shared" si="7"/>
        <v>1.2038041660792328E-3</v>
      </c>
      <c r="F209" s="358"/>
      <c r="G209" s="358"/>
      <c r="H209" s="363">
        <v>43476</v>
      </c>
      <c r="I209" s="3">
        <v>10.35</v>
      </c>
      <c r="L209" s="382"/>
      <c r="M209" s="382"/>
      <c r="N209" s="382"/>
    </row>
    <row r="210" spans="1:14" ht="15.6" hidden="1" x14ac:dyDescent="0.3">
      <c r="A210" s="275">
        <v>42834</v>
      </c>
      <c r="B210" s="278">
        <v>47577.06</v>
      </c>
      <c r="C210" s="274">
        <f t="shared" si="6"/>
        <v>-6.5428468234344436E-3</v>
      </c>
      <c r="D210" s="278">
        <v>207.55</v>
      </c>
      <c r="E210" s="274">
        <f t="shared" si="7"/>
        <v>-5.5022780249896805E-2</v>
      </c>
      <c r="F210" s="358"/>
      <c r="G210" s="358"/>
      <c r="H210" s="363">
        <v>43483</v>
      </c>
      <c r="I210" s="3">
        <v>10.35</v>
      </c>
      <c r="L210" s="382"/>
      <c r="M210" s="382"/>
      <c r="N210" s="382"/>
    </row>
    <row r="211" spans="1:14" ht="15.6" hidden="1" x14ac:dyDescent="0.3">
      <c r="A211" s="275">
        <v>42827</v>
      </c>
      <c r="B211" s="278">
        <v>47889.37</v>
      </c>
      <c r="C211" s="274">
        <f t="shared" si="6"/>
        <v>-5.5507283418437412E-3</v>
      </c>
      <c r="D211" s="278">
        <v>219.29</v>
      </c>
      <c r="E211" s="274">
        <f t="shared" si="7"/>
        <v>-3.0139944523341303E-2</v>
      </c>
      <c r="F211" s="358"/>
      <c r="G211" s="358"/>
      <c r="H211" s="363">
        <v>43490</v>
      </c>
      <c r="I211" s="3">
        <v>10.35</v>
      </c>
      <c r="L211" s="382"/>
      <c r="M211" s="382"/>
      <c r="N211" s="382"/>
    </row>
    <row r="212" spans="1:14" ht="15.6" hidden="1" x14ac:dyDescent="0.3">
      <c r="A212" s="275">
        <v>42820</v>
      </c>
      <c r="B212" s="278">
        <v>48155.93</v>
      </c>
      <c r="C212" s="274">
        <f t="shared" si="6"/>
        <v>-1.6785019720735813E-2</v>
      </c>
      <c r="D212" s="278">
        <v>226</v>
      </c>
      <c r="E212" s="274">
        <f t="shared" si="7"/>
        <v>-2.6202372394024072E-2</v>
      </c>
      <c r="F212" s="358"/>
      <c r="G212" s="358"/>
      <c r="H212" s="363">
        <v>43497</v>
      </c>
      <c r="I212" s="3">
        <v>10.35</v>
      </c>
      <c r="L212" s="382"/>
      <c r="M212" s="382"/>
      <c r="N212" s="382"/>
    </row>
    <row r="213" spans="1:14" ht="15.6" hidden="1" x14ac:dyDescent="0.3">
      <c r="A213" s="275">
        <v>42813</v>
      </c>
      <c r="B213" s="278">
        <v>48971.05</v>
      </c>
      <c r="C213" s="274">
        <f t="shared" si="6"/>
        <v>1.1536330299792251E-2</v>
      </c>
      <c r="D213" s="278">
        <v>232</v>
      </c>
      <c r="E213" s="274">
        <f t="shared" si="7"/>
        <v>4.4059989794030495E-2</v>
      </c>
      <c r="F213" s="358"/>
      <c r="G213" s="358"/>
      <c r="H213" s="363">
        <v>43504</v>
      </c>
      <c r="I213" s="3">
        <v>10.35</v>
      </c>
      <c r="L213" s="382"/>
      <c r="M213" s="382"/>
      <c r="N213" s="382"/>
    </row>
    <row r="214" spans="1:14" ht="15.6" hidden="1" x14ac:dyDescent="0.3">
      <c r="A214" s="275">
        <v>42806</v>
      </c>
      <c r="B214" s="278">
        <v>48409.35</v>
      </c>
      <c r="C214" s="274">
        <f t="shared" si="6"/>
        <v>-1.6032949627516207E-2</v>
      </c>
      <c r="D214" s="278">
        <v>222</v>
      </c>
      <c r="E214" s="274">
        <f t="shared" si="7"/>
        <v>-3.5314966748239196E-2</v>
      </c>
      <c r="F214" s="358"/>
      <c r="G214" s="358"/>
      <c r="H214" s="363">
        <v>43511</v>
      </c>
      <c r="I214" s="3">
        <v>10.35</v>
      </c>
      <c r="L214" s="382"/>
      <c r="M214" s="382"/>
      <c r="N214" s="382"/>
    </row>
    <row r="215" spans="1:14" ht="15.6" hidden="1" x14ac:dyDescent="0.3">
      <c r="A215" s="275">
        <v>42799</v>
      </c>
      <c r="B215" s="278">
        <v>49191.75</v>
      </c>
      <c r="C215" s="274">
        <f t="shared" si="6"/>
        <v>-8.7448323598873917E-3</v>
      </c>
      <c r="D215" s="278">
        <v>229.98</v>
      </c>
      <c r="E215" s="274">
        <f t="shared" si="7"/>
        <v>4.2703450662789659E-3</v>
      </c>
      <c r="F215" s="358"/>
      <c r="G215" s="358"/>
      <c r="H215" s="363">
        <v>43518</v>
      </c>
      <c r="I215" s="3">
        <v>10.35</v>
      </c>
      <c r="L215" s="382"/>
      <c r="M215" s="382"/>
      <c r="N215" s="382"/>
    </row>
    <row r="216" spans="1:14" ht="15.6" hidden="1" x14ac:dyDescent="0.3">
      <c r="A216" s="275">
        <v>42792</v>
      </c>
      <c r="B216" s="278">
        <v>49623.81</v>
      </c>
      <c r="C216" s="274">
        <f t="shared" si="6"/>
        <v>1.2487412828886831E-2</v>
      </c>
      <c r="D216" s="278">
        <v>229</v>
      </c>
      <c r="E216" s="274">
        <f t="shared" si="7"/>
        <v>-6.5288588824635556E-3</v>
      </c>
      <c r="F216" s="358"/>
      <c r="G216" s="358"/>
      <c r="H216" s="383" t="s">
        <v>132</v>
      </c>
      <c r="I216" s="361">
        <f>AVERAGE(I3:I215)%</f>
        <v>8.0643192488262669E-2</v>
      </c>
      <c r="L216" s="382"/>
      <c r="M216" s="382"/>
      <c r="N216" s="382"/>
    </row>
    <row r="217" spans="1:14" ht="15.6" hidden="1" x14ac:dyDescent="0.3">
      <c r="A217" s="275">
        <v>42785</v>
      </c>
      <c r="B217" s="278">
        <v>49007.99</v>
      </c>
      <c r="C217" s="274">
        <f t="shared" si="6"/>
        <v>-7.4752568226538743E-3</v>
      </c>
      <c r="D217" s="278">
        <v>230.5</v>
      </c>
      <c r="E217" s="274">
        <f t="shared" si="7"/>
        <v>-5.2193106355050561E-2</v>
      </c>
      <c r="F217" s="358"/>
      <c r="G217" s="358"/>
      <c r="L217" s="382"/>
      <c r="M217" s="382"/>
      <c r="N217" s="382"/>
    </row>
    <row r="218" spans="1:14" ht="15.6" hidden="1" x14ac:dyDescent="0.3">
      <c r="A218" s="275">
        <v>42778</v>
      </c>
      <c r="B218" s="278">
        <v>49375.71</v>
      </c>
      <c r="C218" s="274">
        <f t="shared" si="6"/>
        <v>-1.1064878839466731E-2</v>
      </c>
      <c r="D218" s="278">
        <v>242.85</v>
      </c>
      <c r="E218" s="274">
        <f t="shared" si="7"/>
        <v>1.9123426257442407E-2</v>
      </c>
      <c r="F218" s="358"/>
      <c r="G218" s="358"/>
      <c r="L218" s="382"/>
      <c r="M218" s="382"/>
      <c r="N218" s="382"/>
    </row>
    <row r="219" spans="1:14" ht="15.6" hidden="1" x14ac:dyDescent="0.3">
      <c r="A219" s="275">
        <v>42771</v>
      </c>
      <c r="B219" s="278">
        <v>49925.08</v>
      </c>
      <c r="C219" s="274">
        <f t="shared" si="6"/>
        <v>7.4235689190991763E-3</v>
      </c>
      <c r="D219" s="278">
        <v>238.25</v>
      </c>
      <c r="E219" s="274">
        <f t="shared" si="7"/>
        <v>-1.2098603980669436E-2</v>
      </c>
      <c r="F219" s="358"/>
      <c r="G219" s="358"/>
      <c r="L219" s="382"/>
      <c r="M219" s="382"/>
      <c r="N219" s="382"/>
    </row>
    <row r="220" spans="1:14" ht="15.6" hidden="1" x14ac:dyDescent="0.3">
      <c r="A220" s="275">
        <v>42764</v>
      </c>
      <c r="B220" s="278">
        <v>49555.83</v>
      </c>
      <c r="C220" s="274">
        <f t="shared" si="6"/>
        <v>-8.1982299935797823E-3</v>
      </c>
      <c r="D220" s="278">
        <v>241.15</v>
      </c>
      <c r="E220" s="274">
        <f t="shared" si="7"/>
        <v>-9.015109699429745E-2</v>
      </c>
      <c r="F220" s="358"/>
      <c r="G220" s="358"/>
      <c r="L220" s="382"/>
      <c r="M220" s="382"/>
      <c r="N220" s="382"/>
    </row>
    <row r="221" spans="1:14" ht="15.6" hidden="1" x14ac:dyDescent="0.3">
      <c r="A221" s="275">
        <v>42757</v>
      </c>
      <c r="B221" s="278">
        <v>49963.77</v>
      </c>
      <c r="C221" s="274">
        <f t="shared" si="6"/>
        <v>1.2059915456637925E-2</v>
      </c>
      <c r="D221" s="278">
        <v>263.89999999999998</v>
      </c>
      <c r="E221" s="274">
        <f t="shared" si="7"/>
        <v>4.5575468177842682E-3</v>
      </c>
      <c r="F221" s="358"/>
      <c r="G221" s="358"/>
      <c r="L221" s="382"/>
      <c r="M221" s="382"/>
      <c r="N221" s="382"/>
    </row>
    <row r="222" spans="1:14" ht="15.6" hidden="1" x14ac:dyDescent="0.3">
      <c r="A222" s="275">
        <v>42750</v>
      </c>
      <c r="B222" s="278">
        <v>49364.83</v>
      </c>
      <c r="C222" s="274">
        <f t="shared" si="6"/>
        <v>3.1312119592978842E-3</v>
      </c>
      <c r="D222" s="278">
        <v>262.7</v>
      </c>
      <c r="E222" s="274">
        <f t="shared" si="7"/>
        <v>4.3569707151700235E-2</v>
      </c>
      <c r="F222" s="358"/>
      <c r="G222" s="358"/>
      <c r="L222" s="382"/>
      <c r="M222" s="382"/>
      <c r="N222" s="382"/>
    </row>
    <row r="223" spans="1:14" ht="15.6" hidden="1" x14ac:dyDescent="0.3">
      <c r="A223" s="275">
        <v>42743</v>
      </c>
      <c r="B223" s="278">
        <v>49210.5</v>
      </c>
      <c r="C223" s="274">
        <f t="shared" si="6"/>
        <v>3.5068173714748645E-3</v>
      </c>
      <c r="D223" s="278">
        <v>251.5</v>
      </c>
      <c r="E223" s="274">
        <f t="shared" si="7"/>
        <v>4.6804066197802537E-2</v>
      </c>
      <c r="F223" s="358"/>
      <c r="G223" s="358"/>
      <c r="L223" s="382"/>
      <c r="M223" s="382"/>
      <c r="N223" s="382"/>
    </row>
    <row r="224" spans="1:14" ht="15.6" hidden="1" x14ac:dyDescent="0.3">
      <c r="A224" s="275">
        <v>42736</v>
      </c>
      <c r="B224" s="278">
        <v>49038.23</v>
      </c>
      <c r="C224" s="274">
        <f t="shared" si="6"/>
        <v>2.5428753224383385E-2</v>
      </c>
      <c r="D224" s="278">
        <v>240</v>
      </c>
      <c r="E224" s="274">
        <f t="shared" si="7"/>
        <v>3.3901551675681416E-2</v>
      </c>
      <c r="F224" s="358"/>
      <c r="G224" s="358"/>
      <c r="L224" s="382"/>
      <c r="M224" s="382"/>
      <c r="N224" s="382"/>
    </row>
    <row r="225" spans="1:14" ht="15.6" hidden="1" x14ac:dyDescent="0.3">
      <c r="A225" s="275">
        <v>42729</v>
      </c>
      <c r="B225" s="278">
        <v>47806.97</v>
      </c>
      <c r="C225" s="274">
        <f t="shared" si="6"/>
        <v>2.4841770375928062E-2</v>
      </c>
      <c r="D225" s="278">
        <v>232</v>
      </c>
      <c r="E225" s="274">
        <f t="shared" si="7"/>
        <v>-8.6203180950761985E-5</v>
      </c>
      <c r="F225" s="358"/>
      <c r="G225" s="358"/>
      <c r="L225" s="382"/>
      <c r="M225" s="382"/>
      <c r="N225" s="382"/>
    </row>
    <row r="226" spans="1:14" ht="15.6" hidden="1" x14ac:dyDescent="0.3">
      <c r="A226" s="275">
        <v>42722</v>
      </c>
      <c r="B226" s="278">
        <v>46633.99</v>
      </c>
      <c r="C226" s="274">
        <f t="shared" si="6"/>
        <v>1.0611626239349582E-3</v>
      </c>
      <c r="D226" s="278">
        <v>232.02</v>
      </c>
      <c r="E226" s="274">
        <f t="shared" si="7"/>
        <v>-5.3209395601365159E-2</v>
      </c>
      <c r="F226" s="358"/>
      <c r="G226" s="358"/>
      <c r="L226" s="382"/>
      <c r="M226" s="382"/>
      <c r="N226" s="382"/>
    </row>
    <row r="227" spans="1:14" ht="15.6" hidden="1" x14ac:dyDescent="0.3">
      <c r="A227" s="275">
        <v>42715</v>
      </c>
      <c r="B227" s="278">
        <v>46584.53</v>
      </c>
      <c r="C227" s="274">
        <f t="shared" si="6"/>
        <v>2.6037723818706001E-2</v>
      </c>
      <c r="D227" s="278">
        <v>244.7</v>
      </c>
      <c r="E227" s="274">
        <f t="shared" si="7"/>
        <v>2.7008241649742488E-3</v>
      </c>
      <c r="F227" s="358"/>
      <c r="G227" s="358"/>
      <c r="L227" s="382"/>
      <c r="M227" s="382"/>
      <c r="N227" s="382"/>
    </row>
    <row r="228" spans="1:14" ht="15.6" hidden="1" x14ac:dyDescent="0.3">
      <c r="A228" s="275">
        <v>42708</v>
      </c>
      <c r="B228" s="278">
        <v>45387.23</v>
      </c>
      <c r="C228" s="274">
        <f t="shared" si="6"/>
        <v>4.775043429760488E-2</v>
      </c>
      <c r="D228" s="278">
        <v>244.04</v>
      </c>
      <c r="E228" s="274">
        <f t="shared" si="7"/>
        <v>6.3784830475510951E-2</v>
      </c>
      <c r="F228" s="358"/>
      <c r="G228" s="358"/>
      <c r="L228" s="382"/>
      <c r="M228" s="382"/>
      <c r="N228" s="382"/>
    </row>
    <row r="229" spans="1:14" ht="15.6" hidden="1" x14ac:dyDescent="0.3">
      <c r="A229" s="275">
        <v>42701</v>
      </c>
      <c r="B229" s="278">
        <v>43270.9</v>
      </c>
      <c r="C229" s="274">
        <f t="shared" si="6"/>
        <v>6.2881449651548292E-3</v>
      </c>
      <c r="D229" s="278">
        <v>228.96</v>
      </c>
      <c r="E229" s="274">
        <f t="shared" si="7"/>
        <v>4.9052253019051757E-2</v>
      </c>
      <c r="F229" s="358"/>
      <c r="G229" s="358"/>
      <c r="L229" s="382"/>
      <c r="M229" s="382"/>
      <c r="N229" s="382"/>
    </row>
    <row r="230" spans="1:14" ht="15.6" hidden="1" x14ac:dyDescent="0.3">
      <c r="A230" s="275">
        <v>42694</v>
      </c>
      <c r="B230" s="278">
        <v>42999.66</v>
      </c>
      <c r="C230" s="274">
        <f t="shared" si="6"/>
        <v>1.5815698269253976E-2</v>
      </c>
      <c r="D230" s="278">
        <v>218</v>
      </c>
      <c r="E230" s="274">
        <f t="shared" si="7"/>
        <v>2.7908788117076658E-2</v>
      </c>
      <c r="F230" s="358"/>
      <c r="G230" s="358"/>
      <c r="L230" s="382"/>
      <c r="M230" s="382"/>
      <c r="N230" s="382"/>
    </row>
    <row r="231" spans="1:14" ht="15.6" hidden="1" x14ac:dyDescent="0.3">
      <c r="A231" s="275">
        <v>42687</v>
      </c>
      <c r="B231" s="278">
        <v>42324.94</v>
      </c>
      <c r="C231" s="274">
        <f t="shared" si="6"/>
        <v>-1.2308597660476657E-2</v>
      </c>
      <c r="D231" s="278">
        <v>212</v>
      </c>
      <c r="E231" s="274">
        <f t="shared" si="7"/>
        <v>2.5124309531673689E-2</v>
      </c>
      <c r="F231" s="358"/>
      <c r="G231" s="358"/>
      <c r="L231" s="382"/>
      <c r="M231" s="382"/>
      <c r="N231" s="382"/>
    </row>
    <row r="232" spans="1:14" ht="15.6" hidden="1" x14ac:dyDescent="0.3">
      <c r="A232" s="275">
        <v>42680</v>
      </c>
      <c r="B232" s="278">
        <v>42849.120000000003</v>
      </c>
      <c r="C232" s="274">
        <f t="shared" si="6"/>
        <v>2.3795004120340208E-2</v>
      </c>
      <c r="D232" s="278">
        <v>206.74</v>
      </c>
      <c r="E232" s="274">
        <f t="shared" si="7"/>
        <v>3.1004772439254271E-3</v>
      </c>
      <c r="F232" s="358"/>
      <c r="G232" s="358"/>
      <c r="L232" s="382"/>
      <c r="M232" s="382"/>
      <c r="N232" s="382"/>
    </row>
    <row r="233" spans="1:14" ht="15.6" hidden="1" x14ac:dyDescent="0.3">
      <c r="A233" s="275">
        <v>42673</v>
      </c>
      <c r="B233" s="278">
        <v>41841.56</v>
      </c>
      <c r="C233" s="274">
        <f t="shared" si="6"/>
        <v>4.8193710409002055E-2</v>
      </c>
      <c r="D233" s="278">
        <v>206.1</v>
      </c>
      <c r="E233" s="274">
        <f t="shared" si="7"/>
        <v>1.073181031600377E-2</v>
      </c>
      <c r="F233" s="358"/>
      <c r="G233" s="358"/>
      <c r="L233" s="382"/>
      <c r="M233" s="382"/>
      <c r="N233" s="382"/>
    </row>
    <row r="234" spans="1:14" ht="15.6" hidden="1" x14ac:dyDescent="0.3">
      <c r="A234" s="275">
        <v>42666</v>
      </c>
      <c r="B234" s="278">
        <v>39872.879999999997</v>
      </c>
      <c r="C234" s="274">
        <f t="shared" si="6"/>
        <v>-3.4958578833920055E-2</v>
      </c>
      <c r="D234" s="278">
        <v>203.9</v>
      </c>
      <c r="E234" s="274">
        <f t="shared" si="7"/>
        <v>-5.7695025328411295E-2</v>
      </c>
      <c r="F234" s="358"/>
      <c r="G234" s="358"/>
      <c r="L234" s="382"/>
      <c r="M234" s="382"/>
      <c r="N234" s="382"/>
    </row>
    <row r="235" spans="1:14" ht="15.6" hidden="1" x14ac:dyDescent="0.3">
      <c r="A235" s="275">
        <v>42659</v>
      </c>
      <c r="B235" s="278">
        <v>41291.43</v>
      </c>
      <c r="C235" s="274">
        <f t="shared" si="6"/>
        <v>-4.1780848431386035E-3</v>
      </c>
      <c r="D235" s="278">
        <v>216.01</v>
      </c>
      <c r="E235" s="274">
        <f t="shared" si="7"/>
        <v>-1.6027529606405282E-2</v>
      </c>
      <c r="F235" s="358"/>
      <c r="G235" s="358"/>
      <c r="L235" s="382"/>
      <c r="M235" s="382"/>
      <c r="N235" s="382"/>
    </row>
    <row r="236" spans="1:14" ht="15.6" hidden="1" x14ac:dyDescent="0.3">
      <c r="A236" s="275">
        <v>42652</v>
      </c>
      <c r="B236" s="278">
        <v>41464.31</v>
      </c>
      <c r="C236" s="274">
        <f t="shared" si="6"/>
        <v>6.3831504514458006E-3</v>
      </c>
      <c r="D236" s="278">
        <v>219.5</v>
      </c>
      <c r="E236" s="274">
        <f t="shared" si="7"/>
        <v>3.4765957843213659E-2</v>
      </c>
      <c r="F236" s="358"/>
      <c r="G236" s="358"/>
      <c r="L236" s="382"/>
      <c r="M236" s="382"/>
      <c r="N236" s="382"/>
    </row>
    <row r="237" spans="1:14" ht="15.6" hidden="1" x14ac:dyDescent="0.3">
      <c r="A237" s="275">
        <v>42645</v>
      </c>
      <c r="B237" s="278">
        <v>41200.480000000003</v>
      </c>
      <c r="C237" s="274">
        <f t="shared" si="6"/>
        <v>1.6116119483893222E-2</v>
      </c>
      <c r="D237" s="278">
        <v>212</v>
      </c>
      <c r="E237" s="274">
        <f t="shared" si="7"/>
        <v>-1.2888286192352343E-2</v>
      </c>
      <c r="F237" s="358"/>
      <c r="G237" s="358"/>
      <c r="L237" s="382"/>
      <c r="M237" s="382"/>
      <c r="N237" s="382"/>
    </row>
    <row r="238" spans="1:14" ht="15.6" hidden="1" x14ac:dyDescent="0.3">
      <c r="A238" s="275">
        <v>42638</v>
      </c>
      <c r="B238" s="278">
        <v>40541.81</v>
      </c>
      <c r="C238" s="274">
        <f t="shared" si="6"/>
        <v>1.8920495456910574E-2</v>
      </c>
      <c r="D238" s="278">
        <v>214.75</v>
      </c>
      <c r="E238" s="274">
        <f t="shared" si="7"/>
        <v>7.7130217597932886E-3</v>
      </c>
      <c r="F238" s="358"/>
      <c r="G238" s="358"/>
      <c r="L238" s="382"/>
      <c r="M238" s="382"/>
      <c r="N238" s="382"/>
    </row>
    <row r="239" spans="1:14" ht="15.6" hidden="1" x14ac:dyDescent="0.3">
      <c r="A239" s="275">
        <v>42631</v>
      </c>
      <c r="B239" s="278">
        <v>39781.949999999997</v>
      </c>
      <c r="C239" s="274">
        <f t="shared" si="6"/>
        <v>-1.4517078882103454E-2</v>
      </c>
      <c r="D239" s="278">
        <v>213.1</v>
      </c>
      <c r="E239" s="274">
        <f t="shared" si="7"/>
        <v>-3.3001725711717431E-2</v>
      </c>
      <c r="F239" s="358"/>
      <c r="G239" s="358"/>
      <c r="L239" s="382"/>
      <c r="M239" s="382"/>
      <c r="N239" s="382"/>
    </row>
    <row r="240" spans="1:14" ht="15.6" hidden="1" x14ac:dyDescent="0.3">
      <c r="A240" s="275">
        <v>42624</v>
      </c>
      <c r="B240" s="278">
        <v>40363.68</v>
      </c>
      <c r="C240" s="274">
        <f t="shared" si="6"/>
        <v>5.8113666760286199E-4</v>
      </c>
      <c r="D240" s="278">
        <v>220.25</v>
      </c>
      <c r="E240" s="274">
        <f t="shared" si="7"/>
        <v>9.1220700965772717E-3</v>
      </c>
      <c r="F240" s="358"/>
      <c r="G240" s="358"/>
      <c r="L240" s="382"/>
      <c r="M240" s="382"/>
      <c r="N240" s="382"/>
    </row>
    <row r="241" spans="1:14" ht="15.6" hidden="1" x14ac:dyDescent="0.3">
      <c r="A241" s="275">
        <v>42617</v>
      </c>
      <c r="B241" s="278">
        <v>40340.230000000003</v>
      </c>
      <c r="C241" s="274">
        <f t="shared" si="6"/>
        <v>2.1943899543471344E-2</v>
      </c>
      <c r="D241" s="278">
        <v>218.25</v>
      </c>
      <c r="E241" s="274">
        <f t="shared" si="7"/>
        <v>-1.1163118542979087E-2</v>
      </c>
      <c r="F241" s="358"/>
      <c r="G241" s="358"/>
      <c r="L241" s="382"/>
      <c r="M241" s="382"/>
      <c r="N241" s="382"/>
    </row>
    <row r="242" spans="1:14" ht="15.6" hidden="1" x14ac:dyDescent="0.3">
      <c r="A242" s="275">
        <v>42610</v>
      </c>
      <c r="B242" s="278">
        <v>39464.65</v>
      </c>
      <c r="C242" s="274">
        <f t="shared" si="6"/>
        <v>-1.1639938528498515E-2</v>
      </c>
      <c r="D242" s="278">
        <v>220.7</v>
      </c>
      <c r="E242" s="274">
        <f t="shared" si="7"/>
        <v>-2.3730686009595166E-2</v>
      </c>
      <c r="F242" s="358"/>
      <c r="G242" s="358"/>
      <c r="L242" s="382"/>
      <c r="M242" s="382"/>
      <c r="N242" s="382"/>
    </row>
    <row r="243" spans="1:14" ht="15.6" hidden="1" x14ac:dyDescent="0.3">
      <c r="A243" s="275">
        <v>42603</v>
      </c>
      <c r="B243" s="278">
        <v>39926.699999999997</v>
      </c>
      <c r="C243" s="274">
        <f t="shared" si="6"/>
        <v>1.0767892535182396E-2</v>
      </c>
      <c r="D243" s="278">
        <v>226</v>
      </c>
      <c r="E243" s="274">
        <f t="shared" si="7"/>
        <v>-1.3265533672058864E-3</v>
      </c>
      <c r="F243" s="358"/>
      <c r="G243" s="358"/>
      <c r="L243" s="382"/>
      <c r="M243" s="382"/>
      <c r="N243" s="382"/>
    </row>
    <row r="244" spans="1:14" ht="15.6" hidden="1" x14ac:dyDescent="0.3">
      <c r="A244" s="275">
        <v>42596</v>
      </c>
      <c r="B244" s="278">
        <v>39499.08</v>
      </c>
      <c r="C244" s="274">
        <f t="shared" si="6"/>
        <v>-1.0290403766260794E-2</v>
      </c>
      <c r="D244" s="278">
        <v>226.3</v>
      </c>
      <c r="E244" s="274">
        <f t="shared" si="7"/>
        <v>2.3744101014278061E-2</v>
      </c>
      <c r="F244" s="358"/>
      <c r="G244" s="358"/>
      <c r="L244" s="382"/>
      <c r="M244" s="382"/>
      <c r="N244" s="382"/>
    </row>
    <row r="245" spans="1:14" ht="15.6" hidden="1" x14ac:dyDescent="0.3">
      <c r="A245" s="275">
        <v>42589</v>
      </c>
      <c r="B245" s="278">
        <v>39907.64</v>
      </c>
      <c r="C245" s="274">
        <f t="shared" si="6"/>
        <v>1.3050475991889606E-2</v>
      </c>
      <c r="D245" s="278">
        <v>220.99</v>
      </c>
      <c r="E245" s="274">
        <f t="shared" si="7"/>
        <v>2.2839043941048718E-2</v>
      </c>
      <c r="F245" s="358"/>
      <c r="G245" s="358"/>
      <c r="L245" s="382"/>
      <c r="M245" s="382"/>
      <c r="N245" s="382"/>
    </row>
    <row r="246" spans="1:14" ht="15.6" hidden="1" x14ac:dyDescent="0.3">
      <c r="A246" s="275">
        <v>42582</v>
      </c>
      <c r="B246" s="278">
        <v>39390.21</v>
      </c>
      <c r="C246" s="274">
        <f t="shared" si="6"/>
        <v>-2.9170255890310992E-3</v>
      </c>
      <c r="D246" s="278">
        <v>216</v>
      </c>
      <c r="E246" s="274">
        <f t="shared" si="7"/>
        <v>9.3023926623134103E-3</v>
      </c>
      <c r="F246" s="358"/>
      <c r="G246" s="358"/>
      <c r="L246" s="382"/>
      <c r="M246" s="382"/>
      <c r="N246" s="382"/>
    </row>
    <row r="247" spans="1:14" ht="15.6" hidden="1" x14ac:dyDescent="0.3">
      <c r="A247" s="275">
        <v>42575</v>
      </c>
      <c r="B247" s="278">
        <v>39505.279999999999</v>
      </c>
      <c r="C247" s="274">
        <f t="shared" si="6"/>
        <v>8.9884463009264684E-3</v>
      </c>
      <c r="D247" s="278">
        <v>214</v>
      </c>
      <c r="E247" s="274">
        <f t="shared" si="7"/>
        <v>-6.9848945219509817E-3</v>
      </c>
      <c r="F247" s="358"/>
      <c r="G247" s="358"/>
      <c r="L247" s="382"/>
      <c r="M247" s="382"/>
      <c r="N247" s="382"/>
    </row>
    <row r="248" spans="1:14" ht="15.6" hidden="1" x14ac:dyDescent="0.3">
      <c r="A248" s="275">
        <v>42568</v>
      </c>
      <c r="B248" s="278">
        <v>39151.78</v>
      </c>
      <c r="C248" s="274">
        <f t="shared" si="6"/>
        <v>-9.3668331879405388E-4</v>
      </c>
      <c r="D248" s="278">
        <v>215.5</v>
      </c>
      <c r="E248" s="274">
        <f t="shared" si="7"/>
        <v>-4.3139492660617708E-2</v>
      </c>
      <c r="F248" s="358"/>
      <c r="G248" s="358"/>
      <c r="L248" s="382"/>
      <c r="M248" s="382"/>
      <c r="N248" s="382"/>
    </row>
    <row r="249" spans="1:14" ht="15.6" hidden="1" x14ac:dyDescent="0.3">
      <c r="A249" s="275">
        <v>42561</v>
      </c>
      <c r="B249" s="278">
        <v>39188.47</v>
      </c>
      <c r="C249" s="274">
        <f t="shared" si="6"/>
        <v>3.1671530799106E-2</v>
      </c>
      <c r="D249" s="278">
        <v>225</v>
      </c>
      <c r="E249" s="274">
        <f t="shared" si="7"/>
        <v>8.8952653988506505E-2</v>
      </c>
      <c r="F249" s="358"/>
      <c r="G249" s="358"/>
      <c r="L249" s="382"/>
      <c r="M249" s="382"/>
      <c r="N249" s="382"/>
    </row>
    <row r="250" spans="1:14" ht="15.6" hidden="1" x14ac:dyDescent="0.3">
      <c r="A250" s="275">
        <v>42554</v>
      </c>
      <c r="B250" s="278">
        <v>37966.76</v>
      </c>
      <c r="C250" s="274">
        <f t="shared" si="6"/>
        <v>4.8374820244323213E-3</v>
      </c>
      <c r="D250" s="278">
        <v>205.85</v>
      </c>
      <c r="E250" s="274">
        <f t="shared" si="7"/>
        <v>-8.7543786593942529E-3</v>
      </c>
      <c r="F250" s="358"/>
      <c r="G250" s="358"/>
      <c r="L250" s="382"/>
      <c r="M250" s="382"/>
      <c r="N250" s="382"/>
    </row>
    <row r="251" spans="1:14" ht="15.6" hidden="1" x14ac:dyDescent="0.3">
      <c r="A251" s="275">
        <v>42547</v>
      </c>
      <c r="B251" s="278">
        <v>37783.54</v>
      </c>
      <c r="C251" s="274">
        <f t="shared" si="6"/>
        <v>1.0473478484734303E-2</v>
      </c>
      <c r="D251" s="278">
        <v>207.66</v>
      </c>
      <c r="E251" s="274">
        <f t="shared" si="7"/>
        <v>4.0840053047943817E-2</v>
      </c>
      <c r="F251" s="358"/>
      <c r="G251" s="358"/>
      <c r="L251" s="382"/>
      <c r="M251" s="382"/>
      <c r="N251" s="382"/>
    </row>
    <row r="252" spans="1:14" ht="15.6" hidden="1" x14ac:dyDescent="0.3">
      <c r="A252" s="275">
        <v>42540</v>
      </c>
      <c r="B252" s="278">
        <v>37389.879999999997</v>
      </c>
      <c r="C252" s="274">
        <f t="shared" si="6"/>
        <v>-3.6425660478708016E-2</v>
      </c>
      <c r="D252" s="278">
        <v>199.35</v>
      </c>
      <c r="E252" s="274">
        <f t="shared" si="7"/>
        <v>-1.9620646806936988E-2</v>
      </c>
      <c r="F252" s="358"/>
      <c r="G252" s="358"/>
      <c r="L252" s="382"/>
      <c r="M252" s="382"/>
      <c r="N252" s="382"/>
    </row>
    <row r="253" spans="1:14" ht="15.6" hidden="1" x14ac:dyDescent="0.3">
      <c r="A253" s="275">
        <v>42533</v>
      </c>
      <c r="B253" s="278">
        <v>38776.94</v>
      </c>
      <c r="C253" s="274">
        <f t="shared" si="6"/>
        <v>4.8506943146227062E-2</v>
      </c>
      <c r="D253" s="278">
        <v>203.3</v>
      </c>
      <c r="E253" s="274">
        <f t="shared" si="7"/>
        <v>-5.8852548485554476E-3</v>
      </c>
      <c r="F253" s="358"/>
      <c r="G253" s="358"/>
      <c r="L253" s="382"/>
      <c r="M253" s="382"/>
      <c r="N253" s="382"/>
    </row>
    <row r="254" spans="1:14" ht="15.6" hidden="1" x14ac:dyDescent="0.3">
      <c r="A254" s="275">
        <v>42526</v>
      </c>
      <c r="B254" s="278">
        <v>36940.879999999997</v>
      </c>
      <c r="C254" s="274">
        <f t="shared" si="6"/>
        <v>-7.6080528908555479E-3</v>
      </c>
      <c r="D254" s="278">
        <v>204.5</v>
      </c>
      <c r="E254" s="274">
        <f t="shared" si="7"/>
        <v>-1.6970104218461589E-2</v>
      </c>
      <c r="F254" s="358"/>
      <c r="G254" s="358"/>
      <c r="L254" s="382"/>
      <c r="M254" s="382"/>
      <c r="N254" s="382"/>
    </row>
    <row r="255" spans="1:14" ht="15.6" hidden="1" x14ac:dyDescent="0.3">
      <c r="A255" s="275">
        <v>42519</v>
      </c>
      <c r="B255" s="278">
        <v>37223</v>
      </c>
      <c r="C255" s="274">
        <f t="shared" si="6"/>
        <v>1.4306510234423616E-2</v>
      </c>
      <c r="D255" s="278">
        <v>208</v>
      </c>
      <c r="E255" s="274">
        <f t="shared" si="7"/>
        <v>4.8192864359489218E-3</v>
      </c>
      <c r="F255" s="358"/>
      <c r="G255" s="358"/>
      <c r="L255" s="382"/>
      <c r="M255" s="382"/>
      <c r="N255" s="382"/>
    </row>
    <row r="256" spans="1:14" ht="15.6" hidden="1" x14ac:dyDescent="0.3">
      <c r="A256" s="275">
        <v>42512</v>
      </c>
      <c r="B256" s="278">
        <v>36694.26</v>
      </c>
      <c r="C256" s="274">
        <f t="shared" si="6"/>
        <v>2.0711900732022188E-5</v>
      </c>
      <c r="D256" s="278">
        <v>207</v>
      </c>
      <c r="E256" s="274">
        <f t="shared" si="7"/>
        <v>-8.1790208177859626E-3</v>
      </c>
      <c r="F256" s="358"/>
      <c r="G256" s="358"/>
      <c r="L256" s="382"/>
      <c r="M256" s="382"/>
      <c r="N256" s="382"/>
    </row>
    <row r="257" spans="1:14" ht="15.6" hidden="1" x14ac:dyDescent="0.3">
      <c r="A257" s="275">
        <v>42505</v>
      </c>
      <c r="B257" s="278">
        <v>36693.5</v>
      </c>
      <c r="C257" s="274">
        <f t="shared" si="6"/>
        <v>1.5683964607947475E-2</v>
      </c>
      <c r="D257" s="278">
        <v>208.7</v>
      </c>
      <c r="E257" s="274">
        <f t="shared" si="7"/>
        <v>1.0355300240381404E-2</v>
      </c>
      <c r="F257" s="358"/>
      <c r="G257" s="358"/>
      <c r="L257" s="382"/>
      <c r="M257" s="382"/>
      <c r="N257" s="382"/>
    </row>
    <row r="258" spans="1:14" ht="15.6" hidden="1" x14ac:dyDescent="0.3">
      <c r="A258" s="275">
        <v>42498</v>
      </c>
      <c r="B258" s="278">
        <v>36122.49</v>
      </c>
      <c r="C258" s="274">
        <f t="shared" si="6"/>
        <v>4.1281030968899337E-3</v>
      </c>
      <c r="D258" s="278">
        <v>206.55</v>
      </c>
      <c r="E258" s="274">
        <f t="shared" si="7"/>
        <v>-2.4177961488027195E-3</v>
      </c>
      <c r="F258" s="358"/>
      <c r="G258" s="358"/>
      <c r="L258" s="382"/>
      <c r="M258" s="382"/>
      <c r="N258" s="382"/>
    </row>
    <row r="259" spans="1:14" ht="15.6" hidden="1" x14ac:dyDescent="0.3">
      <c r="A259" s="275">
        <v>42491</v>
      </c>
      <c r="B259" s="278">
        <v>35973.68</v>
      </c>
      <c r="C259" s="274">
        <f t="shared" si="6"/>
        <v>3.5492119678629884E-2</v>
      </c>
      <c r="D259" s="278">
        <v>207.05</v>
      </c>
      <c r="E259" s="274">
        <f t="shared" si="7"/>
        <v>4.5988220951630786E-3</v>
      </c>
      <c r="F259" s="358"/>
      <c r="G259" s="358"/>
      <c r="L259" s="382"/>
      <c r="M259" s="382"/>
      <c r="N259" s="382"/>
    </row>
    <row r="260" spans="1:14" ht="15.6" hidden="1" x14ac:dyDescent="0.3">
      <c r="A260" s="275">
        <v>42484</v>
      </c>
      <c r="B260" s="278">
        <v>34719.29</v>
      </c>
      <c r="C260" s="274">
        <f t="shared" ref="C260:C314" si="8">LN(B260/B261)</f>
        <v>2.8624996918656186E-2</v>
      </c>
      <c r="D260" s="278">
        <v>206.1</v>
      </c>
      <c r="E260" s="274">
        <f t="shared" ref="E260:E314" si="9">LN(D260/D261)</f>
        <v>6.620606404788538E-3</v>
      </c>
      <c r="F260" s="358"/>
      <c r="G260" s="358"/>
      <c r="L260" s="382"/>
      <c r="M260" s="382"/>
      <c r="N260" s="382"/>
    </row>
    <row r="261" spans="1:14" ht="15.6" hidden="1" x14ac:dyDescent="0.3">
      <c r="A261" s="275">
        <v>42477</v>
      </c>
      <c r="B261" s="278">
        <v>33739.54</v>
      </c>
      <c r="C261" s="274">
        <f t="shared" si="8"/>
        <v>-8.1710460966386152E-4</v>
      </c>
      <c r="D261" s="278">
        <v>204.74</v>
      </c>
      <c r="E261" s="274">
        <f t="shared" si="9"/>
        <v>-3.2484116994707837E-2</v>
      </c>
      <c r="F261" s="358"/>
      <c r="G261" s="358"/>
      <c r="L261" s="382"/>
      <c r="M261" s="382"/>
      <c r="N261" s="382"/>
    </row>
    <row r="262" spans="1:14" ht="15.6" hidden="1" x14ac:dyDescent="0.3">
      <c r="A262" s="275">
        <v>42470</v>
      </c>
      <c r="B262" s="278">
        <v>33767.120000000003</v>
      </c>
      <c r="C262" s="274">
        <f t="shared" si="8"/>
        <v>-5.9178147465684299E-3</v>
      </c>
      <c r="D262" s="278">
        <v>211.5</v>
      </c>
      <c r="E262" s="274">
        <f t="shared" si="9"/>
        <v>-8.0056938053567617E-3</v>
      </c>
      <c r="F262" s="358"/>
      <c r="G262" s="358"/>
      <c r="L262" s="382"/>
      <c r="M262" s="382"/>
      <c r="N262" s="382"/>
    </row>
    <row r="263" spans="1:14" ht="15.6" hidden="1" x14ac:dyDescent="0.3">
      <c r="A263" s="275">
        <v>42463</v>
      </c>
      <c r="B263" s="278">
        <v>33967.54</v>
      </c>
      <c r="C263" s="274">
        <f t="shared" si="8"/>
        <v>1.536493644133328E-2</v>
      </c>
      <c r="D263" s="278">
        <v>213.2</v>
      </c>
      <c r="E263" s="274">
        <f t="shared" si="9"/>
        <v>9.3852658226428677E-4</v>
      </c>
      <c r="F263" s="358"/>
      <c r="G263" s="358"/>
      <c r="L263" s="382"/>
      <c r="M263" s="382"/>
      <c r="N263" s="382"/>
    </row>
    <row r="264" spans="1:14" ht="15.6" hidden="1" x14ac:dyDescent="0.3">
      <c r="A264" s="275">
        <v>42456</v>
      </c>
      <c r="B264" s="278">
        <v>33449.620000000003</v>
      </c>
      <c r="C264" s="274">
        <f t="shared" si="8"/>
        <v>1.7280788595090107E-2</v>
      </c>
      <c r="D264" s="278">
        <v>213</v>
      </c>
      <c r="E264" s="274">
        <f t="shared" si="9"/>
        <v>2.3657936784438012E-2</v>
      </c>
      <c r="F264" s="358"/>
      <c r="G264" s="358"/>
      <c r="L264" s="382"/>
      <c r="M264" s="382"/>
      <c r="N264" s="382"/>
    </row>
    <row r="265" spans="1:14" ht="15.6" hidden="1" x14ac:dyDescent="0.3">
      <c r="A265" s="275">
        <v>42449</v>
      </c>
      <c r="B265" s="278">
        <v>32876.550000000003</v>
      </c>
      <c r="C265" s="274">
        <f t="shared" si="8"/>
        <v>-6.1813243053558033E-3</v>
      </c>
      <c r="D265" s="278">
        <v>208.02</v>
      </c>
      <c r="E265" s="274">
        <f t="shared" si="9"/>
        <v>1.6675131896125663E-2</v>
      </c>
      <c r="F265" s="358"/>
      <c r="G265" s="358"/>
      <c r="L265" s="382"/>
      <c r="M265" s="382"/>
      <c r="N265" s="382"/>
    </row>
    <row r="266" spans="1:14" ht="15.6" hidden="1" x14ac:dyDescent="0.3">
      <c r="A266" s="275">
        <v>42442</v>
      </c>
      <c r="B266" s="278">
        <v>33080.400000000001</v>
      </c>
      <c r="C266" s="274">
        <f t="shared" si="8"/>
        <v>1.2509448360459183E-2</v>
      </c>
      <c r="D266" s="278">
        <v>204.58</v>
      </c>
      <c r="E266" s="274">
        <f t="shared" si="9"/>
        <v>6.5758021554452845E-2</v>
      </c>
      <c r="F266" s="358"/>
      <c r="G266" s="358"/>
      <c r="L266" s="382"/>
      <c r="M266" s="382"/>
      <c r="N266" s="382"/>
    </row>
    <row r="267" spans="1:14" ht="15.6" hidden="1" x14ac:dyDescent="0.3">
      <c r="A267" s="275">
        <v>42435</v>
      </c>
      <c r="B267" s="278">
        <v>32669.16</v>
      </c>
      <c r="C267" s="274">
        <f t="shared" si="8"/>
        <v>6.9856483269923209E-3</v>
      </c>
      <c r="D267" s="278">
        <v>191.56</v>
      </c>
      <c r="E267" s="274">
        <f t="shared" si="9"/>
        <v>-2.0859415156362277E-3</v>
      </c>
      <c r="F267" s="358"/>
      <c r="G267" s="358"/>
      <c r="L267" s="382"/>
      <c r="M267" s="382"/>
      <c r="N267" s="382"/>
    </row>
    <row r="268" spans="1:14" ht="15.6" hidden="1" x14ac:dyDescent="0.3">
      <c r="A268" s="275">
        <v>42428</v>
      </c>
      <c r="B268" s="278">
        <v>32441.74</v>
      </c>
      <c r="C268" s="274">
        <f t="shared" si="8"/>
        <v>3.6016923016174832E-2</v>
      </c>
      <c r="D268" s="278">
        <v>191.96</v>
      </c>
      <c r="E268" s="274">
        <f t="shared" si="9"/>
        <v>6.38302910581834E-2</v>
      </c>
      <c r="F268" s="358"/>
      <c r="G268" s="358"/>
      <c r="L268" s="382"/>
      <c r="M268" s="382"/>
      <c r="N268" s="382"/>
    </row>
    <row r="269" spans="1:14" ht="15.6" hidden="1" x14ac:dyDescent="0.3">
      <c r="A269" s="275">
        <v>42421</v>
      </c>
      <c r="B269" s="278">
        <v>31294.080000000002</v>
      </c>
      <c r="C269" s="274">
        <f t="shared" si="8"/>
        <v>9.0621324319173479E-3</v>
      </c>
      <c r="D269" s="278">
        <v>180.09</v>
      </c>
      <c r="E269" s="274">
        <f t="shared" si="9"/>
        <v>-1.6957957440264064E-2</v>
      </c>
      <c r="F269" s="358"/>
      <c r="G269" s="358"/>
      <c r="L269" s="382"/>
      <c r="M269" s="382"/>
      <c r="N269" s="382"/>
    </row>
    <row r="270" spans="1:14" ht="15.6" hidden="1" x14ac:dyDescent="0.3">
      <c r="A270" s="275">
        <v>42414</v>
      </c>
      <c r="B270" s="278">
        <v>31011.77</v>
      </c>
      <c r="C270" s="274">
        <f t="shared" si="8"/>
        <v>-1.4482310448020142E-2</v>
      </c>
      <c r="D270" s="278">
        <v>183.17</v>
      </c>
      <c r="E270" s="274">
        <f t="shared" si="9"/>
        <v>-5.1705394864023264E-2</v>
      </c>
      <c r="F270" s="358"/>
      <c r="G270" s="358"/>
      <c r="L270" s="382"/>
      <c r="M270" s="382"/>
      <c r="N270" s="382"/>
    </row>
    <row r="271" spans="1:14" ht="15.6" hidden="1" x14ac:dyDescent="0.3">
      <c r="A271" s="275">
        <v>42407</v>
      </c>
      <c r="B271" s="278">
        <v>31464.16</v>
      </c>
      <c r="C271" s="274">
        <f t="shared" si="8"/>
        <v>-3.1743990566187583E-2</v>
      </c>
      <c r="D271" s="278">
        <v>192.89</v>
      </c>
      <c r="E271" s="274">
        <f t="shared" si="9"/>
        <v>-7.3347436267866394E-3</v>
      </c>
      <c r="F271" s="358"/>
      <c r="G271" s="358"/>
      <c r="L271" s="382"/>
      <c r="M271" s="382"/>
      <c r="N271" s="382"/>
    </row>
    <row r="272" spans="1:14" ht="15.6" hidden="1" x14ac:dyDescent="0.3">
      <c r="A272" s="275">
        <v>42400</v>
      </c>
      <c r="B272" s="278">
        <v>32478.98</v>
      </c>
      <c r="C272" s="274">
        <f t="shared" si="8"/>
        <v>3.7019742748220008E-2</v>
      </c>
      <c r="D272" s="278">
        <v>194.31</v>
      </c>
      <c r="E272" s="274">
        <f t="shared" si="9"/>
        <v>2.8345420581532502E-3</v>
      </c>
      <c r="F272" s="358"/>
      <c r="G272" s="358"/>
      <c r="L272" s="382"/>
      <c r="M272" s="382"/>
      <c r="N272" s="382"/>
    </row>
    <row r="273" spans="1:14" ht="15.6" hidden="1" x14ac:dyDescent="0.3">
      <c r="A273" s="275">
        <v>42393</v>
      </c>
      <c r="B273" s="278">
        <v>31298.6</v>
      </c>
      <c r="C273" s="274">
        <f t="shared" si="8"/>
        <v>1.1232033456117308E-2</v>
      </c>
      <c r="D273" s="278">
        <v>193.76</v>
      </c>
      <c r="E273" s="274">
        <f t="shared" si="9"/>
        <v>-2.4227440392593489E-3</v>
      </c>
      <c r="F273" s="358"/>
      <c r="G273" s="358"/>
      <c r="L273" s="382"/>
      <c r="M273" s="382"/>
      <c r="N273" s="382"/>
    </row>
    <row r="274" spans="1:14" ht="15.6" hidden="1" x14ac:dyDescent="0.3">
      <c r="A274" s="275">
        <v>42386</v>
      </c>
      <c r="B274" s="278">
        <v>30949.02</v>
      </c>
      <c r="C274" s="274">
        <f t="shared" si="8"/>
        <v>-1.6939331910743867E-3</v>
      </c>
      <c r="D274" s="278">
        <v>194.23</v>
      </c>
      <c r="E274" s="274">
        <f t="shared" si="9"/>
        <v>4.6635251396354757E-2</v>
      </c>
      <c r="F274" s="358"/>
      <c r="G274" s="358"/>
      <c r="L274" s="382"/>
      <c r="M274" s="382"/>
      <c r="N274" s="382"/>
    </row>
    <row r="275" spans="1:14" ht="15.6" hidden="1" x14ac:dyDescent="0.3">
      <c r="A275" s="275">
        <v>42379</v>
      </c>
      <c r="B275" s="278">
        <v>31001.49</v>
      </c>
      <c r="C275" s="274">
        <f t="shared" si="8"/>
        <v>-4.8276554670557664E-2</v>
      </c>
      <c r="D275" s="278">
        <v>185.38</v>
      </c>
      <c r="E275" s="274">
        <f t="shared" si="9"/>
        <v>-7.6509414172317713E-2</v>
      </c>
      <c r="F275" s="358"/>
      <c r="G275" s="358"/>
      <c r="L275" s="382"/>
      <c r="M275" s="382"/>
      <c r="N275" s="382"/>
    </row>
    <row r="276" spans="1:14" ht="15.6" hidden="1" x14ac:dyDescent="0.3">
      <c r="A276" s="275">
        <v>42372</v>
      </c>
      <c r="B276" s="278">
        <v>32534.85</v>
      </c>
      <c r="C276" s="274">
        <f t="shared" si="8"/>
        <v>-2.1109661396849444E-2</v>
      </c>
      <c r="D276" s="278">
        <v>200.12</v>
      </c>
      <c r="E276" s="274">
        <f t="shared" si="9"/>
        <v>2.7714112563539572E-2</v>
      </c>
      <c r="F276" s="358"/>
      <c r="G276" s="358"/>
      <c r="L276" s="382"/>
      <c r="M276" s="382"/>
      <c r="N276" s="382"/>
    </row>
    <row r="277" spans="1:14" ht="15.6" hidden="1" x14ac:dyDescent="0.3">
      <c r="A277" s="275">
        <v>42365</v>
      </c>
      <c r="B277" s="278">
        <v>33228.949999999997</v>
      </c>
      <c r="C277" s="274">
        <f t="shared" si="8"/>
        <v>2.2158317921120017E-2</v>
      </c>
      <c r="D277" s="278">
        <v>194.65</v>
      </c>
      <c r="E277" s="274">
        <f t="shared" si="9"/>
        <v>-1.6407175347883871E-2</v>
      </c>
      <c r="F277" s="358"/>
      <c r="G277" s="358"/>
      <c r="L277" s="382"/>
      <c r="M277" s="382"/>
      <c r="N277" s="382"/>
    </row>
    <row r="278" spans="1:14" ht="15.6" hidden="1" x14ac:dyDescent="0.3">
      <c r="A278" s="275">
        <v>42358</v>
      </c>
      <c r="B278" s="278">
        <v>32500.75</v>
      </c>
      <c r="C278" s="274">
        <f t="shared" si="8"/>
        <v>-8.4651042832040359E-3</v>
      </c>
      <c r="D278" s="278">
        <v>197.87</v>
      </c>
      <c r="E278" s="274">
        <f t="shared" si="9"/>
        <v>6.9478180950326568E-3</v>
      </c>
      <c r="F278" s="358"/>
      <c r="G278" s="358"/>
      <c r="L278" s="382"/>
      <c r="M278" s="382"/>
      <c r="N278" s="382"/>
    </row>
    <row r="279" spans="1:14" ht="15.6" hidden="1" x14ac:dyDescent="0.3">
      <c r="A279" s="275">
        <v>42351</v>
      </c>
      <c r="B279" s="278">
        <v>32777.040000000001</v>
      </c>
      <c r="C279" s="274">
        <f t="shared" si="8"/>
        <v>-8.2482117984506095E-3</v>
      </c>
      <c r="D279" s="278">
        <v>196.5</v>
      </c>
      <c r="E279" s="274">
        <f t="shared" si="9"/>
        <v>-8.3114202355682419E-3</v>
      </c>
      <c r="F279" s="358"/>
      <c r="G279" s="358"/>
      <c r="L279" s="382"/>
      <c r="M279" s="382"/>
      <c r="N279" s="382"/>
    </row>
    <row r="280" spans="1:14" ht="15.6" hidden="1" x14ac:dyDescent="0.3">
      <c r="A280" s="275">
        <v>42344</v>
      </c>
      <c r="B280" s="278">
        <v>33048.51</v>
      </c>
      <c r="C280" s="274">
        <f t="shared" si="8"/>
        <v>1.0359537398608945E-2</v>
      </c>
      <c r="D280" s="278">
        <v>198.14</v>
      </c>
      <c r="E280" s="274">
        <f t="shared" si="9"/>
        <v>-2.6102298818107276E-2</v>
      </c>
      <c r="F280" s="358"/>
      <c r="G280" s="358"/>
      <c r="L280" s="382"/>
      <c r="M280" s="382"/>
      <c r="N280" s="382"/>
    </row>
    <row r="281" spans="1:14" ht="15.6" hidden="1" x14ac:dyDescent="0.3">
      <c r="A281" s="275">
        <v>42337</v>
      </c>
      <c r="B281" s="278">
        <v>32707.91</v>
      </c>
      <c r="C281" s="274">
        <f t="shared" si="8"/>
        <v>-7.6859520797450372E-3</v>
      </c>
      <c r="D281" s="278">
        <v>203.38</v>
      </c>
      <c r="E281" s="274">
        <f t="shared" si="9"/>
        <v>3.573775041275741E-2</v>
      </c>
      <c r="F281" s="358"/>
      <c r="G281" s="358"/>
      <c r="L281" s="382"/>
      <c r="M281" s="382"/>
      <c r="N281" s="382"/>
    </row>
    <row r="282" spans="1:14" ht="15.6" hidden="1" x14ac:dyDescent="0.3">
      <c r="A282" s="275">
        <v>42330</v>
      </c>
      <c r="B282" s="278">
        <v>32960.269999999997</v>
      </c>
      <c r="C282" s="274">
        <f t="shared" si="8"/>
        <v>-2.6842875906342E-2</v>
      </c>
      <c r="D282" s="278">
        <v>196.24</v>
      </c>
      <c r="E282" s="274">
        <f t="shared" si="9"/>
        <v>-4.5523521819915022E-2</v>
      </c>
      <c r="F282" s="358"/>
      <c r="G282" s="358"/>
      <c r="L282" s="382"/>
      <c r="M282" s="382"/>
      <c r="N282" s="382"/>
    </row>
    <row r="283" spans="1:14" ht="15.6" hidden="1" x14ac:dyDescent="0.3">
      <c r="A283" s="275">
        <v>42323</v>
      </c>
      <c r="B283" s="278">
        <v>33857</v>
      </c>
      <c r="C283" s="274">
        <f t="shared" si="8"/>
        <v>-8.4639466203971104E-3</v>
      </c>
      <c r="D283" s="278">
        <v>205.38</v>
      </c>
      <c r="E283" s="274">
        <f t="shared" si="9"/>
        <v>-2.5772583499062414E-3</v>
      </c>
      <c r="F283" s="358"/>
      <c r="G283" s="358"/>
      <c r="L283" s="382"/>
      <c r="M283" s="382"/>
      <c r="N283" s="382"/>
    </row>
    <row r="284" spans="1:14" ht="15.6" hidden="1" x14ac:dyDescent="0.3">
      <c r="A284" s="275">
        <v>42316</v>
      </c>
      <c r="B284" s="278">
        <v>34144.78</v>
      </c>
      <c r="C284" s="274">
        <f t="shared" si="8"/>
        <v>-8.2241591894998845E-3</v>
      </c>
      <c r="D284" s="278">
        <v>205.91</v>
      </c>
      <c r="E284" s="274">
        <f t="shared" si="9"/>
        <v>-6.1970665523359957E-3</v>
      </c>
      <c r="F284" s="358"/>
      <c r="G284" s="358"/>
      <c r="L284" s="382"/>
      <c r="M284" s="382"/>
      <c r="N284" s="382"/>
    </row>
    <row r="285" spans="1:14" ht="15.6" hidden="1" x14ac:dyDescent="0.3">
      <c r="A285" s="275">
        <v>42309</v>
      </c>
      <c r="B285" s="278">
        <v>34426.75</v>
      </c>
      <c r="C285" s="274">
        <f t="shared" si="8"/>
        <v>4.8086849731103984E-3</v>
      </c>
      <c r="D285" s="278">
        <v>207.19</v>
      </c>
      <c r="E285" s="274">
        <f t="shared" si="9"/>
        <v>3.777188628542133E-2</v>
      </c>
      <c r="F285" s="358"/>
      <c r="G285" s="358"/>
      <c r="L285" s="382"/>
      <c r="M285" s="382"/>
      <c r="N285" s="382"/>
    </row>
    <row r="286" spans="1:14" ht="15.6" hidden="1" x14ac:dyDescent="0.3">
      <c r="A286" s="275">
        <v>42302</v>
      </c>
      <c r="B286" s="278">
        <v>34261.599999999999</v>
      </c>
      <c r="C286" s="274">
        <f t="shared" si="8"/>
        <v>9.2741987749558434E-3</v>
      </c>
      <c r="D286" s="278">
        <v>199.51</v>
      </c>
      <c r="E286" s="274">
        <f t="shared" si="9"/>
        <v>-4.4011073790826919E-3</v>
      </c>
      <c r="F286" s="358"/>
      <c r="G286" s="358"/>
      <c r="L286" s="382"/>
      <c r="M286" s="382"/>
      <c r="N286" s="382"/>
    </row>
    <row r="287" spans="1:14" ht="15.6" hidden="1" x14ac:dyDescent="0.3">
      <c r="A287" s="275">
        <v>42295</v>
      </c>
      <c r="B287" s="278">
        <v>33945.32</v>
      </c>
      <c r="C287" s="274">
        <f t="shared" si="8"/>
        <v>-2.8453482724450643E-4</v>
      </c>
      <c r="D287" s="278">
        <v>200.39</v>
      </c>
      <c r="E287" s="274">
        <f t="shared" si="9"/>
        <v>4.5064392291643947E-2</v>
      </c>
      <c r="F287" s="358"/>
      <c r="G287" s="358"/>
      <c r="L287" s="382"/>
      <c r="M287" s="382"/>
      <c r="N287" s="382"/>
    </row>
    <row r="288" spans="1:14" ht="15.6" hidden="1" x14ac:dyDescent="0.3">
      <c r="A288" s="275">
        <v>42288</v>
      </c>
      <c r="B288" s="278">
        <v>33954.980000000003</v>
      </c>
      <c r="C288" s="274">
        <f t="shared" si="8"/>
        <v>3.2980275965377595E-3</v>
      </c>
      <c r="D288" s="278">
        <v>191.56</v>
      </c>
      <c r="E288" s="274">
        <f t="shared" si="9"/>
        <v>-2.0512744863774843E-2</v>
      </c>
      <c r="F288" s="358"/>
      <c r="G288" s="358"/>
      <c r="L288" s="382"/>
      <c r="M288" s="382"/>
      <c r="N288" s="382"/>
    </row>
    <row r="289" spans="1:14" ht="15.6" hidden="1" x14ac:dyDescent="0.3">
      <c r="A289" s="275">
        <v>42281</v>
      </c>
      <c r="B289" s="278">
        <v>33843.18</v>
      </c>
      <c r="C289" s="274">
        <f t="shared" si="8"/>
        <v>2.6147634167029876E-2</v>
      </c>
      <c r="D289" s="278">
        <v>195.53</v>
      </c>
      <c r="E289" s="274">
        <f t="shared" si="9"/>
        <v>1.8218448310401859E-2</v>
      </c>
      <c r="F289" s="358"/>
      <c r="G289" s="358"/>
      <c r="L289" s="382"/>
      <c r="M289" s="382"/>
      <c r="N289" s="382"/>
    </row>
    <row r="290" spans="1:14" ht="15.6" hidden="1" x14ac:dyDescent="0.3">
      <c r="A290" s="275">
        <v>42274</v>
      </c>
      <c r="B290" s="278">
        <v>32969.730000000003</v>
      </c>
      <c r="C290" s="274">
        <f t="shared" si="8"/>
        <v>4.4652532668543127E-3</v>
      </c>
      <c r="D290" s="278">
        <v>192</v>
      </c>
      <c r="E290" s="274">
        <f t="shared" si="9"/>
        <v>-4.6247062083672403E-3</v>
      </c>
      <c r="F290" s="358"/>
      <c r="G290" s="358"/>
      <c r="L290" s="382"/>
      <c r="M290" s="382"/>
      <c r="N290" s="382"/>
    </row>
    <row r="291" spans="1:14" ht="15.6" hidden="1" x14ac:dyDescent="0.3">
      <c r="A291" s="275">
        <v>42267</v>
      </c>
      <c r="B291" s="278">
        <v>32822.839999999997</v>
      </c>
      <c r="C291" s="274">
        <f t="shared" si="8"/>
        <v>1.8873571768759604E-3</v>
      </c>
      <c r="D291" s="278">
        <v>192.89</v>
      </c>
      <c r="E291" s="274">
        <f t="shared" si="9"/>
        <v>2.456171753367609E-2</v>
      </c>
      <c r="F291" s="358"/>
      <c r="G291" s="358"/>
      <c r="L291" s="382"/>
      <c r="M291" s="382"/>
      <c r="N291" s="382"/>
    </row>
    <row r="292" spans="1:14" ht="15.6" hidden="1" x14ac:dyDescent="0.3">
      <c r="A292" s="275">
        <v>42260</v>
      </c>
      <c r="B292" s="278">
        <v>32760.95</v>
      </c>
      <c r="C292" s="274">
        <f t="shared" si="8"/>
        <v>-2.7450756647498104E-2</v>
      </c>
      <c r="D292" s="278">
        <v>188.21</v>
      </c>
      <c r="E292" s="274">
        <f t="shared" si="9"/>
        <v>-3.3644713353992037E-2</v>
      </c>
      <c r="F292" s="358"/>
      <c r="G292" s="358"/>
      <c r="L292" s="382"/>
      <c r="M292" s="382"/>
      <c r="N292" s="382"/>
    </row>
    <row r="293" spans="1:14" ht="15.6" hidden="1" x14ac:dyDescent="0.3">
      <c r="A293" s="275">
        <v>42253</v>
      </c>
      <c r="B293" s="278">
        <v>33672.720000000001</v>
      </c>
      <c r="C293" s="274">
        <f t="shared" si="8"/>
        <v>-6.4638389278960434E-3</v>
      </c>
      <c r="D293" s="278">
        <v>194.65</v>
      </c>
      <c r="E293" s="274">
        <f t="shared" si="9"/>
        <v>3.3166638393358032E-2</v>
      </c>
      <c r="F293" s="358"/>
      <c r="G293" s="358"/>
      <c r="L293" s="382"/>
      <c r="M293" s="382"/>
      <c r="N293" s="382"/>
    </row>
    <row r="294" spans="1:14" ht="15.6" hidden="1" x14ac:dyDescent="0.3">
      <c r="A294" s="275">
        <v>42246</v>
      </c>
      <c r="B294" s="278">
        <v>33891.08</v>
      </c>
      <c r="C294" s="274">
        <f t="shared" si="8"/>
        <v>-1.6283702076251353E-2</v>
      </c>
      <c r="D294" s="278">
        <v>188.3</v>
      </c>
      <c r="E294" s="274">
        <f t="shared" si="9"/>
        <v>-8.1406212499878269E-2</v>
      </c>
      <c r="F294" s="358"/>
      <c r="G294" s="358"/>
      <c r="L294" s="382"/>
      <c r="M294" s="382"/>
      <c r="N294" s="382"/>
    </row>
    <row r="295" spans="1:14" ht="15.6" hidden="1" x14ac:dyDescent="0.3">
      <c r="A295" s="275">
        <v>42239</v>
      </c>
      <c r="B295" s="278">
        <v>34447.47</v>
      </c>
      <c r="C295" s="274">
        <f t="shared" si="8"/>
        <v>-2.0966483938025917E-3</v>
      </c>
      <c r="D295" s="278">
        <v>204.27</v>
      </c>
      <c r="E295" s="274">
        <f t="shared" si="9"/>
        <v>7.3577141617372582E-2</v>
      </c>
      <c r="F295" s="358"/>
      <c r="G295" s="358"/>
      <c r="L295" s="382"/>
      <c r="M295" s="382"/>
      <c r="N295" s="382"/>
    </row>
    <row r="296" spans="1:14" ht="15.6" hidden="1" x14ac:dyDescent="0.3">
      <c r="A296" s="275">
        <v>42232</v>
      </c>
      <c r="B296" s="278">
        <v>34519.769999999997</v>
      </c>
      <c r="C296" s="274">
        <f t="shared" si="8"/>
        <v>-4.0244384722739043E-2</v>
      </c>
      <c r="D296" s="278">
        <v>189.78</v>
      </c>
      <c r="E296" s="274">
        <f t="shared" si="9"/>
        <v>-6.7438989810672589E-2</v>
      </c>
      <c r="F296" s="358"/>
      <c r="G296" s="358"/>
      <c r="L296" s="382"/>
      <c r="M296" s="382"/>
      <c r="N296" s="382"/>
    </row>
    <row r="297" spans="1:14" ht="15.6" hidden="1" x14ac:dyDescent="0.3">
      <c r="A297" s="275">
        <v>42225</v>
      </c>
      <c r="B297" s="278">
        <v>35937.33</v>
      </c>
      <c r="C297" s="274">
        <f t="shared" si="8"/>
        <v>-7.9074735242346504E-3</v>
      </c>
      <c r="D297" s="278">
        <v>203.02</v>
      </c>
      <c r="E297" s="274">
        <f t="shared" si="9"/>
        <v>0.12972480727867167</v>
      </c>
      <c r="F297" s="358"/>
      <c r="G297" s="358"/>
      <c r="L297" s="382"/>
      <c r="M297" s="382"/>
      <c r="N297" s="382"/>
    </row>
    <row r="298" spans="1:14" ht="15.6" hidden="1" x14ac:dyDescent="0.3">
      <c r="A298" s="275">
        <v>42218</v>
      </c>
      <c r="B298" s="278">
        <v>36222.629999999997</v>
      </c>
      <c r="C298" s="274">
        <f t="shared" si="8"/>
        <v>1.3371023430051957E-2</v>
      </c>
      <c r="D298" s="278">
        <v>178.32</v>
      </c>
      <c r="E298" s="274">
        <f t="shared" si="9"/>
        <v>6.122414537094982E-2</v>
      </c>
      <c r="F298" s="358"/>
      <c r="G298" s="358"/>
      <c r="L298" s="382"/>
      <c r="M298" s="382"/>
      <c r="N298" s="382"/>
    </row>
    <row r="299" spans="1:14" ht="15.6" hidden="1" x14ac:dyDescent="0.3">
      <c r="A299" s="275">
        <v>42211</v>
      </c>
      <c r="B299" s="278">
        <v>35741.519999999997</v>
      </c>
      <c r="C299" s="274">
        <f t="shared" si="8"/>
        <v>-2.0593460974500126E-3</v>
      </c>
      <c r="D299" s="278">
        <v>167.73</v>
      </c>
      <c r="E299" s="274">
        <f t="shared" si="9"/>
        <v>-1.1499830348184503E-2</v>
      </c>
      <c r="F299" s="358"/>
      <c r="G299" s="358"/>
      <c r="L299" s="382"/>
      <c r="M299" s="382"/>
      <c r="N299" s="382"/>
    </row>
    <row r="300" spans="1:14" ht="15.6" hidden="1" x14ac:dyDescent="0.3">
      <c r="A300" s="275">
        <v>42204</v>
      </c>
      <c r="B300" s="278">
        <v>35815.199999999997</v>
      </c>
      <c r="C300" s="274">
        <f t="shared" si="8"/>
        <v>-2.0211195108852703E-3</v>
      </c>
      <c r="D300" s="278">
        <v>169.67</v>
      </c>
      <c r="E300" s="274">
        <f t="shared" si="9"/>
        <v>-9.2691030874866524E-3</v>
      </c>
      <c r="F300" s="358"/>
      <c r="G300" s="358"/>
      <c r="L300" s="382"/>
      <c r="M300" s="382"/>
      <c r="N300" s="382"/>
    </row>
    <row r="301" spans="1:14" ht="15.6" hidden="1" x14ac:dyDescent="0.3">
      <c r="A301" s="275">
        <v>42197</v>
      </c>
      <c r="B301" s="278">
        <v>35887.660000000003</v>
      </c>
      <c r="C301" s="274">
        <f t="shared" si="8"/>
        <v>2.1842292177715744E-2</v>
      </c>
      <c r="D301" s="278">
        <v>171.25</v>
      </c>
      <c r="E301" s="274">
        <f t="shared" si="9"/>
        <v>7.6790435669393999E-3</v>
      </c>
      <c r="F301" s="358"/>
      <c r="G301" s="358"/>
      <c r="L301" s="382"/>
      <c r="M301" s="382"/>
      <c r="N301" s="382"/>
    </row>
    <row r="302" spans="1:14" ht="15.6" hidden="1" x14ac:dyDescent="0.3">
      <c r="A302" s="275">
        <v>42190</v>
      </c>
      <c r="B302" s="278">
        <v>35112.29</v>
      </c>
      <c r="C302" s="274">
        <f t="shared" si="8"/>
        <v>-9.751150829588117E-3</v>
      </c>
      <c r="D302" s="278">
        <v>169.94</v>
      </c>
      <c r="E302" s="274">
        <f t="shared" si="9"/>
        <v>-2.8139819771599846E-2</v>
      </c>
      <c r="F302" s="358"/>
      <c r="G302" s="358"/>
      <c r="L302" s="382"/>
      <c r="M302" s="382"/>
      <c r="N302" s="382"/>
    </row>
    <row r="303" spans="1:14" ht="15.6" hidden="1" x14ac:dyDescent="0.3">
      <c r="A303" s="275">
        <v>42183</v>
      </c>
      <c r="B303" s="278">
        <v>35456.35</v>
      </c>
      <c r="C303" s="274">
        <f t="shared" si="8"/>
        <v>4.5326087379443027E-2</v>
      </c>
      <c r="D303" s="278">
        <v>174.79</v>
      </c>
      <c r="E303" s="274">
        <f t="shared" si="9"/>
        <v>2.0402383748949284E-2</v>
      </c>
      <c r="F303" s="358"/>
      <c r="G303" s="358"/>
      <c r="L303" s="382"/>
      <c r="M303" s="382"/>
      <c r="N303" s="382"/>
    </row>
    <row r="304" spans="1:14" ht="15.6" hidden="1" x14ac:dyDescent="0.3">
      <c r="A304" s="275">
        <v>42176</v>
      </c>
      <c r="B304" s="278">
        <v>33885.129999999997</v>
      </c>
      <c r="C304" s="274">
        <f t="shared" si="8"/>
        <v>-1.8756662677967287E-2</v>
      </c>
      <c r="D304" s="278">
        <v>171.26</v>
      </c>
      <c r="E304" s="274">
        <f t="shared" si="9"/>
        <v>-5.1252296232824493E-3</v>
      </c>
      <c r="F304" s="358"/>
      <c r="G304" s="358"/>
      <c r="L304" s="382"/>
      <c r="M304" s="382"/>
      <c r="N304" s="382"/>
    </row>
    <row r="305" spans="1:14" ht="15.6" hidden="1" x14ac:dyDescent="0.3">
      <c r="A305" s="275">
        <v>42169</v>
      </c>
      <c r="B305" s="278">
        <v>34526.699999999997</v>
      </c>
      <c r="C305" s="274">
        <f t="shared" si="8"/>
        <v>-3.6020166156307313E-3</v>
      </c>
      <c r="D305" s="278">
        <v>172.14</v>
      </c>
      <c r="E305" s="274">
        <f t="shared" si="9"/>
        <v>-2.9041907676617511E-4</v>
      </c>
      <c r="F305" s="358"/>
      <c r="G305" s="358"/>
      <c r="L305" s="382"/>
      <c r="M305" s="382"/>
      <c r="N305" s="382"/>
    </row>
    <row r="306" spans="1:14" ht="15.6" hidden="1" x14ac:dyDescent="0.3">
      <c r="A306" s="275">
        <v>42162</v>
      </c>
      <c r="B306" s="278">
        <v>34651.29</v>
      </c>
      <c r="C306" s="274">
        <f t="shared" si="8"/>
        <v>1.8607144280377318E-2</v>
      </c>
      <c r="D306" s="278">
        <v>172.19</v>
      </c>
      <c r="E306" s="274">
        <f t="shared" si="9"/>
        <v>-3.3048297944058298E-3</v>
      </c>
      <c r="F306" s="358"/>
      <c r="G306" s="358"/>
      <c r="L306" s="382"/>
      <c r="M306" s="382"/>
      <c r="N306" s="382"/>
    </row>
    <row r="307" spans="1:14" ht="15.6" hidden="1" x14ac:dyDescent="0.3">
      <c r="A307" s="275">
        <v>42155</v>
      </c>
      <c r="B307" s="278">
        <v>34012.49</v>
      </c>
      <c r="C307" s="274">
        <f t="shared" si="8"/>
        <v>2.8500818609775751E-2</v>
      </c>
      <c r="D307" s="278">
        <v>172.76</v>
      </c>
      <c r="E307" s="274">
        <f t="shared" si="9"/>
        <v>3.5952488711719433E-3</v>
      </c>
      <c r="F307" s="358"/>
      <c r="G307" s="358"/>
      <c r="L307" s="382"/>
      <c r="M307" s="382"/>
      <c r="N307" s="382"/>
    </row>
    <row r="308" spans="1:14" ht="15.6" hidden="1" x14ac:dyDescent="0.3">
      <c r="A308" s="275">
        <v>42148</v>
      </c>
      <c r="B308" s="278">
        <v>33056.79</v>
      </c>
      <c r="C308" s="274">
        <f t="shared" si="8"/>
        <v>1.3742325337194744E-2</v>
      </c>
      <c r="D308" s="278">
        <v>172.14</v>
      </c>
      <c r="E308" s="274">
        <f t="shared" si="9"/>
        <v>1.5514171191365196E-2</v>
      </c>
      <c r="F308" s="358"/>
      <c r="G308" s="358"/>
      <c r="L308" s="382"/>
      <c r="M308" s="382"/>
      <c r="N308" s="382"/>
    </row>
    <row r="309" spans="1:14" ht="15.6" hidden="1" x14ac:dyDescent="0.3">
      <c r="A309" s="275">
        <v>42141</v>
      </c>
      <c r="B309" s="278">
        <v>32605.62</v>
      </c>
      <c r="C309" s="274">
        <f t="shared" si="8"/>
        <v>-1.3209766460967538E-2</v>
      </c>
      <c r="D309" s="278">
        <v>169.49</v>
      </c>
      <c r="E309" s="274">
        <f t="shared" si="9"/>
        <v>-8.2846620915821602E-3</v>
      </c>
      <c r="F309" s="358"/>
      <c r="G309" s="358"/>
      <c r="L309" s="382"/>
      <c r="M309" s="382"/>
      <c r="N309" s="382"/>
    </row>
    <row r="310" spans="1:14" ht="15.6" hidden="1" x14ac:dyDescent="0.3">
      <c r="A310" s="275">
        <v>42134</v>
      </c>
      <c r="B310" s="278">
        <v>33039.19</v>
      </c>
      <c r="C310" s="274">
        <f t="shared" si="8"/>
        <v>-1.4755075035800647E-2</v>
      </c>
      <c r="D310" s="278">
        <v>170.9</v>
      </c>
      <c r="E310" s="274">
        <f t="shared" si="9"/>
        <v>3.8958605903111107E-2</v>
      </c>
      <c r="F310" s="358"/>
      <c r="G310" s="358"/>
      <c r="L310" s="382"/>
      <c r="M310" s="382"/>
      <c r="N310" s="382"/>
    </row>
    <row r="311" spans="1:14" ht="15.6" hidden="1" x14ac:dyDescent="0.3">
      <c r="A311" s="275">
        <v>42127</v>
      </c>
      <c r="B311" s="278">
        <v>33530.300000000003</v>
      </c>
      <c r="C311" s="274">
        <f t="shared" si="8"/>
        <v>-5.9369555353584302E-3</v>
      </c>
      <c r="D311" s="278">
        <v>164.37</v>
      </c>
      <c r="E311" s="274">
        <f t="shared" si="9"/>
        <v>-4.2496421410155114E-3</v>
      </c>
      <c r="F311" s="358"/>
      <c r="G311" s="358"/>
      <c r="L311" s="382"/>
      <c r="M311" s="382"/>
      <c r="N311" s="382"/>
    </row>
    <row r="312" spans="1:14" ht="15.6" hidden="1" x14ac:dyDescent="0.3">
      <c r="A312" s="275">
        <v>42120</v>
      </c>
      <c r="B312" s="278">
        <v>33729.96</v>
      </c>
      <c r="C312" s="274">
        <f t="shared" si="8"/>
        <v>-1.3379735787891001E-3</v>
      </c>
      <c r="D312" s="278">
        <v>165.07</v>
      </c>
      <c r="E312" s="274">
        <f t="shared" si="9"/>
        <v>-5.1650654649864416E-2</v>
      </c>
      <c r="F312" s="358"/>
      <c r="G312" s="358"/>
      <c r="L312" s="382"/>
      <c r="M312" s="382"/>
      <c r="N312" s="382"/>
    </row>
    <row r="313" spans="1:14" ht="15.6" hidden="1" x14ac:dyDescent="0.3">
      <c r="A313" s="275">
        <v>42113</v>
      </c>
      <c r="B313" s="278">
        <v>33775.120000000003</v>
      </c>
      <c r="C313" s="274">
        <f t="shared" si="8"/>
        <v>1.612902326886427E-2</v>
      </c>
      <c r="D313" s="278">
        <v>173.82</v>
      </c>
      <c r="E313" s="274">
        <f t="shared" si="9"/>
        <v>1.1223722102519637E-2</v>
      </c>
      <c r="F313" s="358"/>
      <c r="G313" s="358"/>
      <c r="L313" s="382"/>
      <c r="M313" s="382"/>
      <c r="N313" s="382"/>
    </row>
    <row r="314" spans="1:14" ht="15.6" hidden="1" x14ac:dyDescent="0.3">
      <c r="A314" s="275">
        <v>42106</v>
      </c>
      <c r="B314" s="278">
        <v>33234.730000000003</v>
      </c>
      <c r="C314" s="274">
        <f t="shared" si="8"/>
        <v>2.6952644893148824E-2</v>
      </c>
      <c r="D314" s="278">
        <v>171.88</v>
      </c>
      <c r="E314" s="274">
        <f t="shared" si="9"/>
        <v>2.3299171770179488E-3</v>
      </c>
      <c r="F314" s="358"/>
      <c r="G314" s="358"/>
      <c r="L314" s="382"/>
      <c r="M314" s="382"/>
      <c r="N314" s="382"/>
    </row>
    <row r="315" spans="1:14" ht="15.6" hidden="1" x14ac:dyDescent="0.3">
      <c r="A315" s="275">
        <v>42099</v>
      </c>
      <c r="B315" s="278">
        <v>32350.93</v>
      </c>
      <c r="C315" s="274"/>
      <c r="D315" s="278">
        <v>171.48</v>
      </c>
      <c r="E315" s="274"/>
      <c r="F315" s="358"/>
      <c r="G315" s="358"/>
      <c r="L315" s="382"/>
      <c r="M315" s="382"/>
      <c r="N315" s="382"/>
    </row>
    <row r="316" spans="1:14" ht="15.6" x14ac:dyDescent="0.3">
      <c r="A316" s="280" t="s">
        <v>132</v>
      </c>
      <c r="B316" s="281"/>
      <c r="C316" s="339">
        <f>AVERAGE(C3:C107)</f>
        <v>1.3143936078522003E-3</v>
      </c>
      <c r="D316" s="282"/>
      <c r="E316" s="340">
        <f>AVERAGE(E3:E107)</f>
        <v>8.4740034673620431E-4</v>
      </c>
      <c r="F316" s="384"/>
      <c r="G316" s="384"/>
      <c r="L316" s="382"/>
      <c r="M316" s="382"/>
      <c r="N316" s="382"/>
    </row>
    <row r="317" spans="1:14" x14ac:dyDescent="0.25">
      <c r="C317" s="361"/>
      <c r="E317" s="391"/>
      <c r="L317" s="382"/>
      <c r="M317" s="382"/>
      <c r="N317" s="382"/>
    </row>
    <row r="318" spans="1:14" x14ac:dyDescent="0.25">
      <c r="L318" s="382"/>
      <c r="M318" s="382"/>
      <c r="N318" s="382"/>
    </row>
    <row r="319" spans="1:14" x14ac:dyDescent="0.25">
      <c r="L319" s="382"/>
      <c r="M319" s="382"/>
      <c r="N319" s="382"/>
    </row>
    <row r="320" spans="1:14" x14ac:dyDescent="0.25">
      <c r="L320" s="382"/>
      <c r="M320" s="382"/>
      <c r="N320" s="382"/>
    </row>
    <row r="321" spans="3:14" x14ac:dyDescent="0.25">
      <c r="C321" s="392"/>
      <c r="L321" s="382"/>
      <c r="M321" s="382"/>
      <c r="N321" s="382"/>
    </row>
    <row r="322" spans="3:14" x14ac:dyDescent="0.25">
      <c r="L322" s="382"/>
      <c r="M322" s="382"/>
      <c r="N322" s="382"/>
    </row>
    <row r="323" spans="3:14" x14ac:dyDescent="0.25">
      <c r="L323" s="382"/>
      <c r="M323" s="382"/>
      <c r="N323" s="382"/>
    </row>
    <row r="324" spans="3:14" x14ac:dyDescent="0.25">
      <c r="L324" s="382"/>
      <c r="M324" s="382"/>
      <c r="N324" s="382"/>
    </row>
    <row r="325" spans="3:14" x14ac:dyDescent="0.25">
      <c r="L325" s="382"/>
      <c r="M325" s="382"/>
      <c r="N325" s="382"/>
    </row>
    <row r="326" spans="3:14" x14ac:dyDescent="0.25">
      <c r="L326" s="382"/>
      <c r="M326" s="382"/>
      <c r="N326" s="382"/>
    </row>
    <row r="327" spans="3:14" x14ac:dyDescent="0.25">
      <c r="L327" s="382"/>
      <c r="M327" s="382"/>
      <c r="N327" s="382"/>
    </row>
    <row r="328" spans="3:14" x14ac:dyDescent="0.25">
      <c r="L328" s="382"/>
      <c r="M328" s="382"/>
      <c r="N328" s="382"/>
    </row>
    <row r="329" spans="3:14" x14ac:dyDescent="0.25">
      <c r="L329" s="382"/>
      <c r="M329" s="382"/>
      <c r="N329" s="382"/>
    </row>
    <row r="330" spans="3:14" x14ac:dyDescent="0.25">
      <c r="L330" s="382"/>
      <c r="M330" s="382"/>
      <c r="N330" s="382"/>
    </row>
    <row r="331" spans="3:14" x14ac:dyDescent="0.25">
      <c r="L331" s="382"/>
      <c r="M331" s="382"/>
      <c r="N331" s="382"/>
    </row>
    <row r="332" spans="3:14" x14ac:dyDescent="0.25">
      <c r="L332" s="382"/>
      <c r="M332" s="382"/>
      <c r="N332" s="382"/>
    </row>
    <row r="333" spans="3:14" x14ac:dyDescent="0.25">
      <c r="L333" s="382"/>
      <c r="M333" s="382"/>
      <c r="N333" s="382"/>
    </row>
    <row r="334" spans="3:14" x14ac:dyDescent="0.25">
      <c r="L334" s="382"/>
      <c r="M334" s="382"/>
      <c r="N334" s="382"/>
    </row>
    <row r="335" spans="3:14" x14ac:dyDescent="0.25">
      <c r="L335" s="382"/>
      <c r="M335" s="382"/>
      <c r="N335" s="382"/>
    </row>
    <row r="336" spans="3:14" x14ac:dyDescent="0.25">
      <c r="L336" s="382"/>
      <c r="M336" s="382"/>
      <c r="N336" s="382"/>
    </row>
    <row r="337" spans="12:14" x14ac:dyDescent="0.25">
      <c r="L337" s="382"/>
      <c r="M337" s="382"/>
      <c r="N337" s="382"/>
    </row>
  </sheetData>
  <mergeCells count="10">
    <mergeCell ref="L23:M23"/>
    <mergeCell ref="H1:I1"/>
    <mergeCell ref="B1:C1"/>
    <mergeCell ref="D1:E1"/>
    <mergeCell ref="X2:Y2"/>
    <mergeCell ref="X4:Y4"/>
    <mergeCell ref="X11:Y11"/>
    <mergeCell ref="L2:M2"/>
    <mergeCell ref="L4:M4"/>
    <mergeCell ref="L11:M11"/>
  </mergeCells>
  <pageMargins left="0.7" right="0.7" top="0.75" bottom="0.75" header="0.3" footer="0.3"/>
  <pageSetup orientation="portrait" horizontalDpi="4294967295" verticalDpi="4294967295"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theme="5" tint="0.79998168889431442"/>
  </sheetPr>
  <dimension ref="A1:H14"/>
  <sheetViews>
    <sheetView zoomScale="112" zoomScaleNormal="126" workbookViewId="0">
      <selection activeCell="B27" sqref="B27"/>
    </sheetView>
  </sheetViews>
  <sheetFormatPr defaultRowHeight="14.4" x14ac:dyDescent="0.3"/>
  <cols>
    <col min="1" max="1" width="29.6640625" customWidth="1"/>
    <col min="2" max="2" width="19.44140625" customWidth="1"/>
    <col min="3" max="3" width="7" customWidth="1"/>
    <col min="4" max="4" width="26.33203125" bestFit="1" customWidth="1"/>
    <col min="5" max="5" width="20.33203125" customWidth="1"/>
    <col min="6" max="6" width="6.44140625" customWidth="1"/>
    <col min="7" max="7" width="20.5546875" customWidth="1"/>
    <col min="8" max="8" width="26.5546875" customWidth="1"/>
    <col min="9" max="9" width="24.109375" customWidth="1"/>
  </cols>
  <sheetData>
    <row r="1" spans="1:8" ht="16.2" thickBot="1" x14ac:dyDescent="0.35">
      <c r="A1" s="490" t="s">
        <v>107</v>
      </c>
      <c r="B1" s="492"/>
      <c r="C1" s="273"/>
      <c r="D1" s="490" t="s">
        <v>71</v>
      </c>
      <c r="E1" s="492"/>
      <c r="F1" s="273"/>
      <c r="G1" s="490" t="s">
        <v>256</v>
      </c>
      <c r="H1" s="492"/>
    </row>
    <row r="2" spans="1:8" ht="15.6" x14ac:dyDescent="0.3">
      <c r="A2" s="116" t="s">
        <v>287</v>
      </c>
      <c r="B2" s="283">
        <f>'Historical Balance Sheets'!B38+'Historical Balance Sheets'!B43+'Historical Balance Sheets'!B46+('Historical Balance Sheets'!B42-2522547000-434347000-5693000-103180000)+'Historical Balance Sheets'!B45</f>
        <v>3044071000</v>
      </c>
      <c r="C2" s="273"/>
      <c r="D2" s="116" t="s">
        <v>257</v>
      </c>
      <c r="E2" s="283">
        <f>'Historical Balance Sheets'!B58</f>
        <v>318467278</v>
      </c>
      <c r="F2" s="273"/>
      <c r="G2" s="116" t="s">
        <v>107</v>
      </c>
      <c r="H2" s="289">
        <f>-B7</f>
        <v>2352436606.5500879</v>
      </c>
    </row>
    <row r="3" spans="1:8" ht="15.6" x14ac:dyDescent="0.3">
      <c r="A3" s="61" t="s">
        <v>286</v>
      </c>
      <c r="B3" s="283">
        <f>'Historical Income Statements'!B30+87648000+4710000</f>
        <v>98589000</v>
      </c>
      <c r="C3" s="273"/>
      <c r="D3" s="61" t="s">
        <v>258</v>
      </c>
      <c r="E3" s="284">
        <f>'Assignment Information'!I30</f>
        <v>158.88</v>
      </c>
      <c r="F3" s="273"/>
      <c r="G3" s="61" t="s">
        <v>259</v>
      </c>
      <c r="H3" s="290">
        <f>H2/H6</f>
        <v>4.4427074694808798E-2</v>
      </c>
    </row>
    <row r="4" spans="1:8" ht="15.6" x14ac:dyDescent="0.3">
      <c r="A4" s="61" t="s">
        <v>290</v>
      </c>
      <c r="B4" s="274">
        <f>B3/B2</f>
        <v>3.2387220928815394E-2</v>
      </c>
      <c r="C4" s="273"/>
      <c r="D4" s="61" t="s">
        <v>260</v>
      </c>
      <c r="E4" s="283">
        <f>E2*E3</f>
        <v>50598081128.639999</v>
      </c>
      <c r="F4" s="273"/>
      <c r="G4" s="61" t="s">
        <v>71</v>
      </c>
      <c r="H4" s="289">
        <f>E4</f>
        <v>50598081128.639999</v>
      </c>
    </row>
    <row r="5" spans="1:8" ht="15.6" x14ac:dyDescent="0.3">
      <c r="A5" s="61" t="s">
        <v>289</v>
      </c>
      <c r="B5" s="346">
        <v>9</v>
      </c>
      <c r="C5" s="273"/>
      <c r="D5" s="61" t="s">
        <v>262</v>
      </c>
      <c r="E5" s="285">
        <f>'Market and Stock Data'!M31</f>
        <v>7.0768111262694625E-2</v>
      </c>
      <c r="F5" s="273"/>
      <c r="G5" s="61" t="s">
        <v>263</v>
      </c>
      <c r="H5" s="290">
        <f>H4/H6</f>
        <v>0.95557292530519122</v>
      </c>
    </row>
    <row r="6" spans="1:8" ht="16.2" thickBot="1" x14ac:dyDescent="0.35">
      <c r="A6" s="61" t="s">
        <v>291</v>
      </c>
      <c r="B6" s="274">
        <f>(12.41%*(('Historical Balance Sheets'!B46+'Historical Balance Sheets'!B38)/WACC!B2)+6.58%*((WACC!B2-'Historical Balance Sheets'!B46-'Historical Balance Sheets'!B38)/WACC!B2))</f>
        <v>6.6785005704531844E-2</v>
      </c>
      <c r="C6" s="273"/>
      <c r="D6" s="273"/>
      <c r="E6" s="273"/>
      <c r="F6" s="273"/>
      <c r="G6" s="286" t="s">
        <v>265</v>
      </c>
      <c r="H6" s="289">
        <f>H2+H4</f>
        <v>52950517735.190086</v>
      </c>
    </row>
    <row r="7" spans="1:8" ht="16.2" thickBot="1" x14ac:dyDescent="0.35">
      <c r="A7" s="61" t="s">
        <v>288</v>
      </c>
      <c r="B7" s="347">
        <f>PV(B6,B5,B3,B2,0)</f>
        <v>-2352436606.5500879</v>
      </c>
      <c r="C7" s="273"/>
      <c r="D7" s="273"/>
      <c r="E7" s="273"/>
      <c r="F7" s="273"/>
      <c r="G7" s="287" t="s">
        <v>266</v>
      </c>
      <c r="H7" s="288">
        <f>((H4/H6)*E5)+((H2/H6)*B9)</f>
        <v>6.9730705427835563E-2</v>
      </c>
    </row>
    <row r="8" spans="1:8" x14ac:dyDescent="0.3">
      <c r="A8" s="61" t="s">
        <v>261</v>
      </c>
      <c r="B8" s="274">
        <f>'Historical Income Statements'!B28</f>
        <v>0.28999999999999998</v>
      </c>
      <c r="C8" s="273"/>
      <c r="D8" s="273"/>
      <c r="E8" s="273"/>
      <c r="F8" s="273"/>
      <c r="G8" s="273"/>
      <c r="H8" s="273"/>
    </row>
    <row r="9" spans="1:8" ht="15" thickBot="1" x14ac:dyDescent="0.35">
      <c r="A9" s="61" t="s">
        <v>264</v>
      </c>
      <c r="B9" s="285">
        <f>B6*(1-B8)</f>
        <v>4.741735405021761E-2</v>
      </c>
      <c r="C9" s="273"/>
      <c r="D9" s="273"/>
      <c r="E9" s="273"/>
      <c r="F9" s="273"/>
      <c r="G9" s="273"/>
      <c r="H9" s="273"/>
    </row>
    <row r="10" spans="1:8" ht="16.2" thickBot="1" x14ac:dyDescent="0.35">
      <c r="A10" s="273"/>
      <c r="B10" s="273"/>
      <c r="C10" s="273"/>
      <c r="D10" s="507" t="s">
        <v>293</v>
      </c>
      <c r="E10" s="508"/>
      <c r="F10" s="509"/>
      <c r="G10" s="273"/>
      <c r="H10" s="273"/>
    </row>
    <row r="11" spans="1:8" x14ac:dyDescent="0.3">
      <c r="A11" s="273"/>
      <c r="B11" s="273"/>
      <c r="C11" s="273"/>
      <c r="D11" s="273"/>
      <c r="E11" s="273"/>
      <c r="F11" s="273"/>
      <c r="G11" s="273"/>
      <c r="H11" s="273"/>
    </row>
    <row r="12" spans="1:8" x14ac:dyDescent="0.3">
      <c r="A12" s="273"/>
      <c r="B12" s="273"/>
    </row>
    <row r="13" spans="1:8" x14ac:dyDescent="0.3">
      <c r="A13" s="273"/>
      <c r="B13" s="273"/>
    </row>
    <row r="14" spans="1:8" x14ac:dyDescent="0.3">
      <c r="A14" s="1"/>
      <c r="B14" s="273"/>
    </row>
  </sheetData>
  <mergeCells count="4">
    <mergeCell ref="A1:B1"/>
    <mergeCell ref="D1:E1"/>
    <mergeCell ref="G1:H1"/>
    <mergeCell ref="D10:F10"/>
  </mergeCells>
  <pageMargins left="0.7" right="0.7" top="0.75" bottom="0.75" header="0.3" footer="0.3"/>
  <pageSetup orientation="portrait" horizontalDpi="4294967295" verticalDpi="4294967295"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theme="5" tint="0.79998168889431442"/>
  </sheetPr>
  <dimension ref="A1:F20"/>
  <sheetViews>
    <sheetView zoomScale="105" zoomScaleNormal="193" workbookViewId="0">
      <selection activeCell="G25" sqref="G25"/>
    </sheetView>
  </sheetViews>
  <sheetFormatPr defaultColWidth="8.88671875" defaultRowHeight="13.8" x14ac:dyDescent="0.25"/>
  <cols>
    <col min="1" max="6" width="13.33203125" style="3" customWidth="1"/>
    <col min="7" max="7" width="12" style="3" bestFit="1" customWidth="1"/>
    <col min="8" max="16384" width="8.88671875" style="3"/>
  </cols>
  <sheetData>
    <row r="1" spans="1:6" ht="21" thickBot="1" x14ac:dyDescent="0.3">
      <c r="A1" s="501" t="s">
        <v>314</v>
      </c>
      <c r="B1" s="502"/>
      <c r="C1" s="502"/>
      <c r="D1" s="502"/>
      <c r="E1" s="502"/>
      <c r="F1" s="503"/>
    </row>
    <row r="2" spans="1:6" x14ac:dyDescent="0.25">
      <c r="A2" s="146" t="s">
        <v>278</v>
      </c>
      <c r="B2" s="394" t="s">
        <v>307</v>
      </c>
      <c r="C2" s="394" t="s">
        <v>315</v>
      </c>
      <c r="D2" s="394" t="s">
        <v>306</v>
      </c>
      <c r="E2" s="410" t="s">
        <v>308</v>
      </c>
      <c r="F2" s="394" t="s">
        <v>312</v>
      </c>
    </row>
    <row r="3" spans="1:6" ht="15.6" x14ac:dyDescent="0.3">
      <c r="A3" s="393">
        <v>1</v>
      </c>
      <c r="B3" s="407">
        <v>6</v>
      </c>
      <c r="C3" s="408">
        <f>1.0841</f>
        <v>1.0841000000000001</v>
      </c>
      <c r="D3" s="409">
        <f>B3*C3</f>
        <v>6.5045999999999999</v>
      </c>
      <c r="E3" s="99">
        <f>(1+WACC!$E$5)^A3</f>
        <v>1.0707681112626946</v>
      </c>
      <c r="F3" s="406">
        <f>D3/E3</f>
        <v>6.0747046270639338</v>
      </c>
    </row>
    <row r="4" spans="1:6" ht="15.6" x14ac:dyDescent="0.3">
      <c r="A4" s="393">
        <v>2</v>
      </c>
      <c r="B4" s="395">
        <f>D3</f>
        <v>6.5045999999999999</v>
      </c>
      <c r="C4" s="99">
        <f>(1+(('Historical Income Statements'!$B$29/'Historical Income Statements'!$F$29)^(1/5))-1)</f>
        <v>1.0421978752615599</v>
      </c>
      <c r="D4" s="396">
        <f t="shared" ref="D4:D6" si="0">B4*C4</f>
        <v>6.7790802994263428</v>
      </c>
      <c r="E4" s="99">
        <f>(1+WACC!$E$5)^A4</f>
        <v>1.1465443480970783</v>
      </c>
      <c r="F4" s="397">
        <f t="shared" ref="F4:F7" si="1">D4/E4</f>
        <v>5.9126193510766454</v>
      </c>
    </row>
    <row r="5" spans="1:6" ht="15.6" x14ac:dyDescent="0.3">
      <c r="A5" s="393">
        <v>3</v>
      </c>
      <c r="B5" s="395">
        <f t="shared" ref="B5:B7" si="2">D4</f>
        <v>6.7790802994263428</v>
      </c>
      <c r="C5" s="99">
        <f>(1+(('Historical Income Statements'!$B$29/'Historical Income Statements'!$F$29)^(1/5))-1)</f>
        <v>1.0421978752615599</v>
      </c>
      <c r="D5" s="396">
        <f t="shared" si="0"/>
        <v>7.0651430842896339</v>
      </c>
      <c r="E5" s="99">
        <f>(1+WACC!$E$5)^A5</f>
        <v>1.2276831260908259</v>
      </c>
      <c r="F5" s="397">
        <f t="shared" si="1"/>
        <v>5.7548588346134393</v>
      </c>
    </row>
    <row r="6" spans="1:6" ht="15.6" x14ac:dyDescent="0.3">
      <c r="A6" s="393">
        <v>4</v>
      </c>
      <c r="B6" s="395">
        <f t="shared" si="2"/>
        <v>7.0651430842896339</v>
      </c>
      <c r="C6" s="99">
        <f>(1+(('Historical Income Statements'!$B$29/'Historical Income Statements'!$F$29)^(1/5))-1)</f>
        <v>1.0421978752615599</v>
      </c>
      <c r="D6" s="396">
        <f t="shared" si="0"/>
        <v>7.3632771108655604</v>
      </c>
      <c r="E6" s="99">
        <f>(1+WACC!$E$5)^A6</f>
        <v>1.3145639421533541</v>
      </c>
      <c r="F6" s="397">
        <f t="shared" si="1"/>
        <v>5.6013076844356169</v>
      </c>
    </row>
    <row r="7" spans="1:6" ht="16.2" thickBot="1" x14ac:dyDescent="0.35">
      <c r="A7" s="398">
        <v>5</v>
      </c>
      <c r="B7" s="395">
        <f t="shared" si="2"/>
        <v>7.3632771108655604</v>
      </c>
      <c r="C7" s="99">
        <f>(1+(('Historical Income Statements'!$B$29/'Historical Income Statements'!$F$29)^(1/5))-1)</f>
        <v>1.0421978752615599</v>
      </c>
      <c r="D7" s="396">
        <f>B7*C7</f>
        <v>7.6739917599061647</v>
      </c>
      <c r="E7" s="99">
        <f>(1+WACC!$E$5)^A7</f>
        <v>1.4075931494735892</v>
      </c>
      <c r="F7" s="397">
        <f t="shared" si="1"/>
        <v>5.4518535862270143</v>
      </c>
    </row>
    <row r="8" spans="1:6" ht="16.2" thickBot="1" x14ac:dyDescent="0.3">
      <c r="A8" s="518" t="s">
        <v>318</v>
      </c>
      <c r="B8" s="519"/>
      <c r="C8" s="519"/>
      <c r="D8" s="519"/>
      <c r="E8" s="519"/>
      <c r="F8" s="404">
        <f>SUM(F3:F7)</f>
        <v>28.795344083416651</v>
      </c>
    </row>
    <row r="11" spans="1:6" ht="14.4" thickBot="1" x14ac:dyDescent="0.3">
      <c r="A11" s="118" t="s">
        <v>309</v>
      </c>
      <c r="B11" s="118" t="s">
        <v>316</v>
      </c>
      <c r="C11" s="118" t="s">
        <v>310</v>
      </c>
      <c r="D11" s="118" t="s">
        <v>319</v>
      </c>
      <c r="E11" s="118" t="s">
        <v>308</v>
      </c>
      <c r="F11" s="182" t="s">
        <v>311</v>
      </c>
    </row>
    <row r="12" spans="1:6" ht="16.2" thickBot="1" x14ac:dyDescent="0.3">
      <c r="A12" s="399">
        <f>D7</f>
        <v>7.6739917599061647</v>
      </c>
      <c r="B12" s="400">
        <f>(1+'Sales Projections'!$M$32)</f>
        <v>1.0344740037671856</v>
      </c>
      <c r="C12" s="401">
        <f>A12*B12</f>
        <v>7.9385449807465207</v>
      </c>
      <c r="D12" s="403">
        <f>WACC!$E$5-'Sales Projections'!$M$32</f>
        <v>3.6294107495509029E-2</v>
      </c>
      <c r="E12" s="402">
        <f>(1+WACC!$E$5)^'Variable Growth Rate Model'!A7</f>
        <v>1.4075931494735892</v>
      </c>
      <c r="F12" s="404">
        <f>(C12/D12)/E12</f>
        <v>155.39163782976638</v>
      </c>
    </row>
    <row r="14" spans="1:6" ht="14.4" thickBot="1" x14ac:dyDescent="0.3"/>
    <row r="15" spans="1:6" x14ac:dyDescent="0.25">
      <c r="A15" s="520" t="s">
        <v>313</v>
      </c>
      <c r="B15" s="521"/>
      <c r="C15" s="524">
        <f>F12+F8</f>
        <v>184.18698191318305</v>
      </c>
      <c r="D15" s="525"/>
    </row>
    <row r="16" spans="1:6" ht="14.4" customHeight="1" thickBot="1" x14ac:dyDescent="0.3">
      <c r="A16" s="522"/>
      <c r="B16" s="523"/>
      <c r="C16" s="526"/>
      <c r="D16" s="527"/>
    </row>
    <row r="17" spans="1:4" ht="15" customHeight="1" x14ac:dyDescent="0.25"/>
    <row r="18" spans="1:4" ht="14.4" thickBot="1" x14ac:dyDescent="0.3"/>
    <row r="19" spans="1:4" ht="16.2" thickBot="1" x14ac:dyDescent="0.35">
      <c r="A19" s="507" t="s">
        <v>320</v>
      </c>
      <c r="B19" s="508"/>
      <c r="C19" s="508"/>
      <c r="D19" s="509"/>
    </row>
    <row r="20" spans="1:4" ht="16.2" thickBot="1" x14ac:dyDescent="0.35">
      <c r="A20" s="507" t="s">
        <v>317</v>
      </c>
      <c r="B20" s="508"/>
      <c r="C20" s="508"/>
      <c r="D20" s="509"/>
    </row>
  </sheetData>
  <mergeCells count="6">
    <mergeCell ref="A19:D19"/>
    <mergeCell ref="A20:D20"/>
    <mergeCell ref="A1:F1"/>
    <mergeCell ref="A8:E8"/>
    <mergeCell ref="A15:B16"/>
    <mergeCell ref="C15:D16"/>
  </mergeCells>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cellIs" priority="1" operator="equal" id="{7E76DC86-0693-4047-8294-9E323C52D3C5}">
            <xm:f>WACC!$E$3</xm:f>
            <x14:dxf>
              <font>
                <color rgb="FF9C5700"/>
              </font>
              <fill>
                <patternFill>
                  <bgColor rgb="FFFFEB9C"/>
                </patternFill>
              </fill>
            </x14:dxf>
          </x14:cfRule>
          <x14:cfRule type="cellIs" priority="2" operator="lessThan" id="{EB46438C-513E-4EED-BA1A-42E7578E872D}">
            <xm:f>WACC!$E$3</xm:f>
            <x14:dxf>
              <font>
                <color rgb="FF9C0006"/>
              </font>
              <fill>
                <patternFill>
                  <bgColor rgb="FFFFC7CE"/>
                </patternFill>
              </fill>
            </x14:dxf>
          </x14:cfRule>
          <x14:cfRule type="cellIs" priority="3" operator="greaterThan" id="{A3A0F324-3437-4E44-AE1B-7C2D19EA95BF}">
            <xm:f>WACC!$E$3</xm:f>
            <x14:dxf>
              <font>
                <color rgb="FF006100"/>
              </font>
              <fill>
                <patternFill>
                  <bgColor rgb="FFC6EFCE"/>
                </patternFill>
              </fill>
            </x14:dxf>
          </x14:cfRule>
          <xm:sqref>C15</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theme="5" tint="0.79998168889431442"/>
  </sheetPr>
  <dimension ref="A1:X37"/>
  <sheetViews>
    <sheetView zoomScale="83" zoomScaleNormal="83" workbookViewId="0">
      <selection activeCell="E24" sqref="E24:G27"/>
    </sheetView>
  </sheetViews>
  <sheetFormatPr defaultColWidth="8.88671875" defaultRowHeight="15.6" x14ac:dyDescent="0.3"/>
  <cols>
    <col min="1" max="1" width="34.88671875" style="5" customWidth="1"/>
    <col min="2" max="2" width="1.44140625" style="5" hidden="1" customWidth="1"/>
    <col min="3" max="3" width="25.109375" style="5" bestFit="1" customWidth="1"/>
    <col min="4" max="12" width="20.109375" style="5" customWidth="1"/>
    <col min="13" max="13" width="17.44140625" style="5" bestFit="1" customWidth="1"/>
    <col min="14" max="15" width="8.88671875" style="5"/>
    <col min="16" max="16" width="13.6640625" style="5" bestFit="1" customWidth="1"/>
    <col min="17" max="17" width="8.88671875" style="5"/>
    <col min="18" max="18" width="15" style="5" bestFit="1" customWidth="1"/>
    <col min="19" max="19" width="22.6640625" style="5" bestFit="1" customWidth="1"/>
    <col min="20" max="20" width="15" style="5" bestFit="1" customWidth="1"/>
    <col min="21" max="21" width="12.6640625" style="5" bestFit="1" customWidth="1"/>
    <col min="22" max="22" width="8.88671875" style="5"/>
    <col min="23" max="23" width="13.88671875" style="5" bestFit="1" customWidth="1"/>
    <col min="24" max="16384" width="8.88671875" style="5"/>
  </cols>
  <sheetData>
    <row r="1" spans="1:24" x14ac:dyDescent="0.3">
      <c r="A1" s="473" t="s">
        <v>11</v>
      </c>
      <c r="B1" s="474"/>
      <c r="C1" s="474"/>
      <c r="D1" s="474"/>
      <c r="E1" s="474"/>
      <c r="F1" s="474"/>
      <c r="G1" s="474"/>
      <c r="H1" s="474"/>
      <c r="I1" s="474"/>
      <c r="J1" s="474"/>
      <c r="K1" s="474"/>
      <c r="L1" s="475"/>
    </row>
    <row r="2" spans="1:24" ht="16.2" thickBot="1" x14ac:dyDescent="0.35">
      <c r="A2" s="476" t="s">
        <v>267</v>
      </c>
      <c r="B2" s="477"/>
      <c r="C2" s="477"/>
      <c r="D2" s="477"/>
      <c r="E2" s="477"/>
      <c r="F2" s="477"/>
      <c r="G2" s="477"/>
      <c r="H2" s="477"/>
      <c r="I2" s="477"/>
      <c r="J2" s="477"/>
      <c r="K2" s="477"/>
      <c r="L2" s="478"/>
    </row>
    <row r="3" spans="1:24" x14ac:dyDescent="0.3">
      <c r="A3" s="169"/>
      <c r="B3" s="537" t="s">
        <v>268</v>
      </c>
      <c r="C3" s="538"/>
      <c r="D3" s="538"/>
      <c r="E3" s="538"/>
      <c r="F3" s="538"/>
      <c r="G3" s="539"/>
      <c r="H3" s="537" t="s">
        <v>269</v>
      </c>
      <c r="I3" s="538"/>
      <c r="J3" s="538"/>
      <c r="K3" s="538"/>
      <c r="L3" s="539"/>
    </row>
    <row r="4" spans="1:24" x14ac:dyDescent="0.3">
      <c r="A4" s="169"/>
      <c r="B4" s="299">
        <v>2014</v>
      </c>
      <c r="C4" s="299">
        <v>2015</v>
      </c>
      <c r="D4" s="299">
        <v>2016</v>
      </c>
      <c r="E4" s="299">
        <v>2017</v>
      </c>
      <c r="F4" s="299">
        <v>2018</v>
      </c>
      <c r="G4" s="299">
        <v>2019</v>
      </c>
      <c r="H4" s="299">
        <v>2020</v>
      </c>
      <c r="I4" s="299">
        <v>2021</v>
      </c>
      <c r="J4" s="299">
        <v>2022</v>
      </c>
      <c r="K4" s="299">
        <v>2023</v>
      </c>
      <c r="L4" s="299">
        <v>2024</v>
      </c>
    </row>
    <row r="5" spans="1:24" x14ac:dyDescent="0.3">
      <c r="A5" s="169" t="s">
        <v>270</v>
      </c>
      <c r="B5" s="39"/>
      <c r="C5" s="300">
        <f>'Historical Income Statements'!F11</f>
        <v>3568467000</v>
      </c>
      <c r="D5" s="301">
        <f>'Historical Income Statements'!E11</f>
        <v>4371913000</v>
      </c>
      <c r="E5" s="300">
        <f>'Historical Income Statements'!D11</f>
        <v>5013696000</v>
      </c>
      <c r="F5" s="302">
        <f>'Historical Income Statements'!C11</f>
        <v>4839509000</v>
      </c>
      <c r="G5" s="303">
        <f>'Historical Income Statements'!B11</f>
        <v>4889907000</v>
      </c>
      <c r="H5" s="231">
        <f>'Pro Forma Income Statement'!F18</f>
        <v>5190566911.9906521</v>
      </c>
      <c r="I5" s="49">
        <f>'Pro Forma Income Statement'!E18</f>
        <v>4793277111.1518059</v>
      </c>
      <c r="J5" s="231">
        <f>'Pro Forma Income Statement'!D18</f>
        <v>4347294465.1653786</v>
      </c>
      <c r="K5" s="50">
        <f>'Pro Forma Income Statement'!C18</f>
        <v>4010821323.7885637</v>
      </c>
      <c r="L5" s="231">
        <f>'Pro Forma Income Statement'!B18</f>
        <v>4106257184.5994711</v>
      </c>
    </row>
    <row r="6" spans="1:24" x14ac:dyDescent="0.3">
      <c r="A6" s="169" t="s">
        <v>261</v>
      </c>
      <c r="B6" s="42"/>
      <c r="C6" s="304">
        <v>0.28999999999999998</v>
      </c>
      <c r="D6" s="305">
        <v>0.28999999999999998</v>
      </c>
      <c r="E6" s="304">
        <v>0.28999999999999998</v>
      </c>
      <c r="F6" s="306">
        <v>0.28999999999999998</v>
      </c>
      <c r="G6" s="307">
        <v>0.28999999999999998</v>
      </c>
      <c r="H6" s="308">
        <v>0.28999999999999998</v>
      </c>
      <c r="I6" s="309">
        <v>0.28999999999999998</v>
      </c>
      <c r="J6" s="308">
        <v>0.28999999999999998</v>
      </c>
      <c r="K6" s="310">
        <v>0.28999999999999998</v>
      </c>
      <c r="L6" s="308">
        <v>0.28999999999999998</v>
      </c>
    </row>
    <row r="7" spans="1:24" x14ac:dyDescent="0.3">
      <c r="A7" s="169" t="s">
        <v>271</v>
      </c>
      <c r="B7" s="42"/>
      <c r="C7" s="311">
        <f>C5*(1-C6)</f>
        <v>2533611570</v>
      </c>
      <c r="D7" s="312">
        <f t="shared" ref="D7:L7" si="0">D5*(1-D6)</f>
        <v>3104058230</v>
      </c>
      <c r="E7" s="311">
        <f t="shared" si="0"/>
        <v>3559724160</v>
      </c>
      <c r="F7" s="313">
        <f t="shared" si="0"/>
        <v>3436051390</v>
      </c>
      <c r="G7" s="314">
        <f t="shared" si="0"/>
        <v>3471833970</v>
      </c>
      <c r="H7" s="271">
        <f t="shared" si="0"/>
        <v>3685302507.5133629</v>
      </c>
      <c r="I7" s="315">
        <f t="shared" si="0"/>
        <v>3403226748.9177818</v>
      </c>
      <c r="J7" s="271">
        <f t="shared" si="0"/>
        <v>3086579070.2674189</v>
      </c>
      <c r="K7" s="316">
        <f t="shared" si="0"/>
        <v>2847683139.8898802</v>
      </c>
      <c r="L7" s="271">
        <f t="shared" si="0"/>
        <v>2915442601.0656242</v>
      </c>
    </row>
    <row r="8" spans="1:24" x14ac:dyDescent="0.3">
      <c r="A8" s="169" t="s">
        <v>272</v>
      </c>
      <c r="B8" s="42">
        <f>(312971+75866+79343)*1000</f>
        <v>468180000</v>
      </c>
      <c r="C8" s="311">
        <f>(330880+76719+80425)*1000</f>
        <v>488024000</v>
      </c>
      <c r="D8" s="312">
        <f>(366930+73609+83563)*1000</f>
        <v>524102000</v>
      </c>
      <c r="E8" s="311">
        <f>(426129+82041+73045)*1000</f>
        <v>581215000</v>
      </c>
      <c r="F8" s="313">
        <f>(512209+87887+62418)*1000</f>
        <v>662514000</v>
      </c>
      <c r="G8" s="314">
        <f>(610586+65041+93982)*1000</f>
        <v>769609000</v>
      </c>
      <c r="H8" s="271">
        <f>G8*(1+H9)</f>
        <v>834806053.52619827</v>
      </c>
      <c r="I8" s="315">
        <f t="shared" ref="I8:L8" si="1">H8*(1+I9)</f>
        <v>910760857.85683787</v>
      </c>
      <c r="J8" s="271">
        <f t="shared" si="1"/>
        <v>1000415628.146688</v>
      </c>
      <c r="K8" s="316">
        <f t="shared" si="1"/>
        <v>1105834656.5489864</v>
      </c>
      <c r="L8" s="271">
        <f t="shared" si="1"/>
        <v>1229960879.9364169</v>
      </c>
      <c r="Q8" s="317"/>
      <c r="R8" s="317"/>
      <c r="S8" s="317"/>
      <c r="T8" s="317"/>
      <c r="U8" s="317"/>
      <c r="V8" s="317"/>
      <c r="W8" s="317"/>
      <c r="X8" s="317"/>
    </row>
    <row r="9" spans="1:24" s="317" customFormat="1" x14ac:dyDescent="0.3">
      <c r="A9" s="318" t="s">
        <v>273</v>
      </c>
      <c r="B9" s="319"/>
      <c r="C9" s="320">
        <f>C8/'Historical Balance Sheets'!F6</f>
        <v>6.8212689004850974E-2</v>
      </c>
      <c r="D9" s="320">
        <f>D8/'Historical Balance Sheets'!E6</f>
        <v>6.300488769881446E-2</v>
      </c>
      <c r="E9" s="320">
        <f>E8/'Historical Balance Sheets'!D6</f>
        <v>6.5560417689846773E-2</v>
      </c>
      <c r="F9" s="320">
        <f>F8/'Historical Balance Sheets'!C6</f>
        <v>7.4262837811708171E-2</v>
      </c>
      <c r="G9" s="320">
        <f>G8/'Historical Balance Sheets'!B6</f>
        <v>8.1181861593506627E-2</v>
      </c>
      <c r="H9" s="321">
        <f>G9*(1+AVERAGE(LN(G9/F9),LN(F9/E9),LN(E9/D9),LN(D9/C9)))</f>
        <v>8.4714515456807735E-2</v>
      </c>
      <c r="I9" s="321">
        <f t="shared" ref="I9:L9" si="2">H9*(1+AVERAGE(LN(H9/G9),LN(G9/F9),LN(F9/E9),LN(E9/D9)))</f>
        <v>9.0984970712428989E-2</v>
      </c>
      <c r="J9" s="321">
        <f t="shared" si="2"/>
        <v>9.8439419652730592E-2</v>
      </c>
      <c r="K9" s="321">
        <f t="shared" si="2"/>
        <v>0.10537523149012762</v>
      </c>
      <c r="L9" s="321">
        <f t="shared" si="2"/>
        <v>0.11224663890964959</v>
      </c>
      <c r="Q9"/>
      <c r="R9"/>
      <c r="S9"/>
      <c r="T9"/>
      <c r="U9"/>
      <c r="V9"/>
      <c r="W9"/>
      <c r="X9"/>
    </row>
    <row r="10" spans="1:24" x14ac:dyDescent="0.3">
      <c r="A10" s="169" t="s">
        <v>274</v>
      </c>
      <c r="B10" s="42"/>
      <c r="C10" s="311">
        <f>C7+C8</f>
        <v>3021635570</v>
      </c>
      <c r="D10" s="312">
        <f t="shared" ref="D10:L10" si="3">D7+D8</f>
        <v>3628160230</v>
      </c>
      <c r="E10" s="311">
        <f t="shared" si="3"/>
        <v>4140939160</v>
      </c>
      <c r="F10" s="313">
        <f t="shared" si="3"/>
        <v>4098565390</v>
      </c>
      <c r="G10" s="314">
        <f t="shared" si="3"/>
        <v>4241442970</v>
      </c>
      <c r="H10" s="271">
        <f t="shared" si="3"/>
        <v>4520108561.0395613</v>
      </c>
      <c r="I10" s="315">
        <f t="shared" si="3"/>
        <v>4313987606.7746201</v>
      </c>
      <c r="J10" s="271">
        <f t="shared" si="3"/>
        <v>4086994698.4141068</v>
      </c>
      <c r="K10" s="316">
        <f t="shared" si="3"/>
        <v>3953517796.4388666</v>
      </c>
      <c r="L10" s="271">
        <f t="shared" si="3"/>
        <v>4145403481.0020409</v>
      </c>
      <c r="Q10"/>
      <c r="R10"/>
      <c r="S10"/>
      <c r="T10"/>
      <c r="U10"/>
      <c r="V10"/>
      <c r="W10"/>
      <c r="X10"/>
    </row>
    <row r="11" spans="1:24" x14ac:dyDescent="0.3">
      <c r="A11" s="169" t="s">
        <v>275</v>
      </c>
      <c r="B11" s="42"/>
      <c r="C11" s="311">
        <f>('Historical Balance Sheets'!$F$6-6652251000)+$C$8</f>
        <v>990219000</v>
      </c>
      <c r="D11" s="312">
        <f>('Historical Balance Sheets'!$E$6-'Historical Balance Sheets'!$F$6)+$D$8</f>
        <v>1688090000</v>
      </c>
      <c r="E11" s="311">
        <f>('Historical Balance Sheets'!$D$6-'Historical Balance Sheets'!$E$6)+$E$8</f>
        <v>1128115000</v>
      </c>
      <c r="F11" s="313">
        <f>('Historical Balance Sheets'!$C$6-'Historical Balance Sheets'!$D$6)+$F$8</f>
        <v>718385000</v>
      </c>
      <c r="G11" s="314">
        <f>('Historical Balance Sheets'!$B$6-'Historical Balance Sheets'!$C$6)+$G$8</f>
        <v>1328465000</v>
      </c>
      <c r="H11" s="271">
        <f>('Pro Forma Balance Sheet'!B6-'Historical Balance Sheets'!B6)+H8</f>
        <v>1138607702.2343035</v>
      </c>
      <c r="I11" s="271">
        <f>('Pro Forma Balance Sheet'!C6-'Pro Forma Balance Sheet'!B6)+I8</f>
        <v>1288096765.2213016</v>
      </c>
      <c r="J11" s="271">
        <f>('Pro Forma Balance Sheet'!D6-'Pro Forma Balance Sheet'!C6)+J8</f>
        <v>1827908333.5189681</v>
      </c>
      <c r="K11" s="271">
        <f>('Pro Forma Balance Sheet'!E6-'Pro Forma Balance Sheet'!D6)+K8</f>
        <v>2039494760.107708</v>
      </c>
      <c r="L11" s="271">
        <f>('Pro Forma Balance Sheet'!F6-'Pro Forma Balance Sheet'!E6)+L8</f>
        <v>2240280162.911108</v>
      </c>
      <c r="Q11"/>
      <c r="R11"/>
      <c r="S11"/>
      <c r="T11"/>
      <c r="U11"/>
      <c r="V11"/>
      <c r="W11"/>
      <c r="X11"/>
    </row>
    <row r="12" spans="1:24" x14ac:dyDescent="0.3">
      <c r="A12" s="169" t="s">
        <v>276</v>
      </c>
      <c r="B12" s="42"/>
      <c r="C12" s="311">
        <f>('Historical Balance Sheets'!$B$24-11405208000)-('Historical Balance Sheets'!$F$42-6002632000)</f>
        <v>1913902000</v>
      </c>
      <c r="D12" s="312">
        <f>'Historical Balance Sheets'!$E$24-'Historical Balance Sheets'!$F$24-('Historical Balance Sheets'!$E$42-'Historical Balance Sheets'!$F$42)</f>
        <v>194976000</v>
      </c>
      <c r="E12" s="311">
        <f>'Historical Balance Sheets'!$D$24-'Historical Balance Sheets'!$E$24-('Historical Balance Sheets'!$D$42-'Historical Balance Sheets'!$E$42)</f>
        <v>-59830000</v>
      </c>
      <c r="F12" s="313">
        <f>'Historical Balance Sheets'!$C$24-'Historical Balance Sheets'!$D$24-('Historical Balance Sheets'!$C$42-'Historical Balance Sheets'!$D$42)</f>
        <v>1320697000</v>
      </c>
      <c r="G12" s="314">
        <f>'Historical Balance Sheets'!$B$24-'Historical Balance Sheets'!$C$24-('Historical Balance Sheets'!$B$42-'Historical Balance Sheets'!$C$42)</f>
        <v>128436000</v>
      </c>
      <c r="H12" s="271">
        <f>('Pro Forma Balance Sheet'!B24-'Historical Balance Sheets'!B24)-('Pro Forma Balance Sheet'!B42-'Historical Balance Sheets'!B42)</f>
        <v>812844603.34378052</v>
      </c>
      <c r="I12" s="232">
        <f>('Pro Forma Balance Sheet'!C24-'Pro Forma Balance Sheet'!B24)-('Pro Forma Balance Sheet'!C42-'Pro Forma Balance Sheet'!B42)</f>
        <v>154557242.67713737</v>
      </c>
      <c r="J12" s="232">
        <f>('Pro Forma Balance Sheet'!D24-'Pro Forma Balance Sheet'!C24)-('Pro Forma Balance Sheet'!D42-'Pro Forma Balance Sheet'!C42)</f>
        <v>385742837.1235323</v>
      </c>
      <c r="K12" s="232">
        <f>('Pro Forma Balance Sheet'!E24-'Pro Forma Balance Sheet'!D24)-('Pro Forma Balance Sheet'!E42-'Pro Forma Balance Sheet'!D42)</f>
        <v>-60501339.955123901</v>
      </c>
      <c r="L12" s="232">
        <f>('Pro Forma Balance Sheet'!F24-'Pro Forma Balance Sheet'!E24)-('Pro Forma Balance Sheet'!F42-'Pro Forma Balance Sheet'!E42)</f>
        <v>531429402.07666302</v>
      </c>
      <c r="Q12"/>
      <c r="R12"/>
      <c r="S12"/>
      <c r="T12"/>
      <c r="U12"/>
      <c r="V12"/>
      <c r="W12"/>
      <c r="X12"/>
    </row>
    <row r="13" spans="1:24" x14ac:dyDescent="0.3">
      <c r="A13" s="322" t="s">
        <v>267</v>
      </c>
      <c r="B13" s="323"/>
      <c r="C13" s="225">
        <f>C10-C11-C12</f>
        <v>117514570</v>
      </c>
      <c r="D13" s="38">
        <f t="shared" ref="D13:L13" si="4">D10-D11-D12</f>
        <v>1745094230</v>
      </c>
      <c r="E13" s="225">
        <f t="shared" si="4"/>
        <v>3072654160</v>
      </c>
      <c r="F13" s="45">
        <f t="shared" si="4"/>
        <v>2059483390</v>
      </c>
      <c r="G13" s="44">
        <f t="shared" si="4"/>
        <v>2784541970</v>
      </c>
      <c r="H13" s="324">
        <f t="shared" si="4"/>
        <v>2568656255.4614773</v>
      </c>
      <c r="I13" s="325">
        <f t="shared" si="4"/>
        <v>2871333598.8761811</v>
      </c>
      <c r="J13" s="324">
        <f t="shared" si="4"/>
        <v>1873343527.7716064</v>
      </c>
      <c r="K13" s="326">
        <f t="shared" si="4"/>
        <v>1974524376.2862825</v>
      </c>
      <c r="L13" s="324">
        <f t="shared" si="4"/>
        <v>1373693916.0142698</v>
      </c>
      <c r="Q13"/>
      <c r="R13"/>
      <c r="S13"/>
      <c r="T13"/>
      <c r="U13"/>
      <c r="V13"/>
      <c r="W13"/>
      <c r="X13"/>
    </row>
    <row r="14" spans="1:24" x14ac:dyDescent="0.3">
      <c r="Q14"/>
      <c r="R14"/>
      <c r="S14"/>
      <c r="T14"/>
      <c r="U14"/>
      <c r="V14"/>
      <c r="W14"/>
      <c r="X14"/>
    </row>
    <row r="15" spans="1:24" x14ac:dyDescent="0.3">
      <c r="J15" s="344"/>
      <c r="K15" s="344"/>
      <c r="Q15"/>
      <c r="R15"/>
      <c r="S15"/>
      <c r="T15"/>
      <c r="U15"/>
      <c r="V15"/>
      <c r="W15"/>
      <c r="X15"/>
    </row>
    <row r="16" spans="1:24" ht="16.2" thickBot="1" x14ac:dyDescent="0.35">
      <c r="J16" s="345"/>
      <c r="Q16"/>
      <c r="R16"/>
      <c r="S16"/>
      <c r="T16"/>
      <c r="U16"/>
      <c r="V16"/>
      <c r="W16"/>
      <c r="X16"/>
    </row>
    <row r="17" spans="1:24" x14ac:dyDescent="0.3">
      <c r="A17" s="328" t="s">
        <v>277</v>
      </c>
      <c r="B17" s="329"/>
      <c r="C17" s="334">
        <f>'Sales Projections'!M32</f>
        <v>3.4474003767185596E-2</v>
      </c>
      <c r="G17" s="322" t="s">
        <v>278</v>
      </c>
      <c r="H17" s="299">
        <f>H4</f>
        <v>2020</v>
      </c>
      <c r="I17" s="299">
        <f t="shared" ref="I17:L17" si="5">I4</f>
        <v>2021</v>
      </c>
      <c r="J17" s="327">
        <f t="shared" si="5"/>
        <v>2022</v>
      </c>
      <c r="K17" s="299">
        <f t="shared" si="5"/>
        <v>2023</v>
      </c>
      <c r="L17" s="327">
        <f t="shared" si="5"/>
        <v>2024</v>
      </c>
      <c r="M17" s="327" t="s">
        <v>279</v>
      </c>
      <c r="Q17"/>
      <c r="R17"/>
      <c r="S17"/>
      <c r="T17"/>
      <c r="U17"/>
      <c r="V17"/>
      <c r="W17"/>
      <c r="X17"/>
    </row>
    <row r="18" spans="1:24" ht="16.2" thickBot="1" x14ac:dyDescent="0.35">
      <c r="A18" s="330" t="s">
        <v>266</v>
      </c>
      <c r="B18" s="331"/>
      <c r="C18" s="335">
        <f>WACC!H7</f>
        <v>6.9730705427835563E-2</v>
      </c>
      <c r="G18" s="169" t="s">
        <v>280</v>
      </c>
      <c r="H18" s="300">
        <f>H13</f>
        <v>2568656255.4614773</v>
      </c>
      <c r="I18" s="300">
        <f>I13</f>
        <v>2871333598.8761811</v>
      </c>
      <c r="J18" s="302">
        <f>J13</f>
        <v>1873343527.7716064</v>
      </c>
      <c r="K18" s="300">
        <f>K13</f>
        <v>1974524376.2862825</v>
      </c>
      <c r="L18" s="302">
        <f>L13</f>
        <v>1373693916.0142698</v>
      </c>
      <c r="M18" s="302">
        <f>(L13*(1+C17))/(C18-C17)</f>
        <v>40305830617.046669</v>
      </c>
      <c r="Q18"/>
      <c r="R18"/>
      <c r="S18"/>
      <c r="T18"/>
      <c r="U18"/>
      <c r="V18"/>
      <c r="W18"/>
      <c r="X18"/>
    </row>
    <row r="19" spans="1:24" x14ac:dyDescent="0.3">
      <c r="G19" s="176" t="s">
        <v>281</v>
      </c>
      <c r="H19" s="336">
        <f>H18/(1+C18)^1</f>
        <v>2401217654.5256324</v>
      </c>
      <c r="I19" s="336">
        <f>I18/(1+C18)^2</f>
        <v>2509196823.2266464</v>
      </c>
      <c r="J19" s="337">
        <f>J18/(1+C18)^3</f>
        <v>1530361524.7999125</v>
      </c>
      <c r="K19" s="336">
        <f>K18/(1+C18)^4</f>
        <v>1507872608.2160385</v>
      </c>
      <c r="L19" s="338">
        <f>(L18+M18)/(1+C18)^5</f>
        <v>29754348568.696899</v>
      </c>
      <c r="M19" s="36"/>
      <c r="Q19"/>
      <c r="R19"/>
      <c r="S19"/>
      <c r="T19"/>
      <c r="U19"/>
      <c r="V19"/>
      <c r="W19"/>
      <c r="X19"/>
    </row>
    <row r="20" spans="1:24" ht="16.2" thickBot="1" x14ac:dyDescent="0.35">
      <c r="Q20"/>
      <c r="R20"/>
      <c r="S20"/>
      <c r="T20"/>
      <c r="U20"/>
      <c r="V20"/>
      <c r="W20"/>
      <c r="X20"/>
    </row>
    <row r="21" spans="1:24" x14ac:dyDescent="0.3">
      <c r="A21" s="328" t="s">
        <v>282</v>
      </c>
      <c r="B21" s="329"/>
      <c r="C21" s="390">
        <f>SUM(H19:L19)</f>
        <v>37702997179.465134</v>
      </c>
      <c r="Q21"/>
      <c r="R21"/>
      <c r="S21"/>
      <c r="T21"/>
      <c r="U21"/>
      <c r="V21"/>
      <c r="W21"/>
      <c r="X21"/>
    </row>
    <row r="22" spans="1:24" ht="16.2" thickBot="1" x14ac:dyDescent="0.35">
      <c r="A22" s="330" t="s">
        <v>283</v>
      </c>
      <c r="B22" s="331"/>
      <c r="C22" s="389">
        <f>-WACC!B7</f>
        <v>2352436606.5500879</v>
      </c>
      <c r="Q22"/>
      <c r="R22"/>
      <c r="S22"/>
      <c r="T22"/>
      <c r="U22"/>
      <c r="V22"/>
      <c r="W22"/>
      <c r="X22"/>
    </row>
    <row r="23" spans="1:24" ht="16.2" thickBot="1" x14ac:dyDescent="0.35">
      <c r="A23" s="328" t="s">
        <v>284</v>
      </c>
      <c r="B23" s="329"/>
      <c r="C23" s="390">
        <f>C21-C22</f>
        <v>35350560572.915047</v>
      </c>
      <c r="Q23"/>
      <c r="R23"/>
      <c r="S23"/>
      <c r="T23"/>
      <c r="U23"/>
      <c r="V23"/>
      <c r="W23"/>
      <c r="X23"/>
    </row>
    <row r="24" spans="1:24" ht="16.2" thickBot="1" x14ac:dyDescent="0.35">
      <c r="A24" s="330" t="s">
        <v>257</v>
      </c>
      <c r="B24" s="331"/>
      <c r="C24" s="332">
        <f>WACC!E2</f>
        <v>318467278</v>
      </c>
      <c r="E24" s="528" t="str">
        <f>IF(C26&gt;WACC!E3, "Buy", "Sell")</f>
        <v>Sell</v>
      </c>
      <c r="F24" s="529"/>
      <c r="G24" s="530"/>
      <c r="J24" s="344"/>
      <c r="Q24"/>
      <c r="R24"/>
      <c r="S24"/>
      <c r="T24"/>
      <c r="U24"/>
      <c r="V24"/>
      <c r="W24"/>
      <c r="X24"/>
    </row>
    <row r="25" spans="1:24" ht="16.2" thickBot="1" x14ac:dyDescent="0.35">
      <c r="E25" s="531"/>
      <c r="F25" s="532"/>
      <c r="G25" s="533"/>
      <c r="Q25"/>
      <c r="R25"/>
      <c r="S25"/>
      <c r="T25"/>
      <c r="U25"/>
      <c r="V25"/>
      <c r="W25"/>
      <c r="X25"/>
    </row>
    <row r="26" spans="1:24" x14ac:dyDescent="0.3">
      <c r="A26" s="540" t="s">
        <v>285</v>
      </c>
      <c r="B26" s="333"/>
      <c r="C26" s="542">
        <f>C23/C24</f>
        <v>111.00217515256008</v>
      </c>
      <c r="E26" s="531"/>
      <c r="F26" s="532"/>
      <c r="G26" s="533"/>
      <c r="Q26"/>
      <c r="R26"/>
      <c r="S26"/>
      <c r="T26"/>
      <c r="U26"/>
      <c r="V26"/>
      <c r="W26"/>
      <c r="X26"/>
    </row>
    <row r="27" spans="1:24" ht="16.2" thickBot="1" x14ac:dyDescent="0.35">
      <c r="A27" s="541"/>
      <c r="C27" s="543"/>
      <c r="E27" s="534"/>
      <c r="F27" s="535"/>
      <c r="G27" s="536"/>
      <c r="Q27"/>
      <c r="R27"/>
      <c r="S27"/>
      <c r="T27"/>
      <c r="U27"/>
      <c r="V27"/>
      <c r="W27"/>
      <c r="X27"/>
    </row>
    <row r="28" spans="1:24" x14ac:dyDescent="0.3">
      <c r="Q28"/>
      <c r="R28"/>
      <c r="S28"/>
      <c r="T28"/>
      <c r="U28"/>
      <c r="V28"/>
      <c r="W28"/>
      <c r="X28"/>
    </row>
    <row r="29" spans="1:24" x14ac:dyDescent="0.3">
      <c r="Q29"/>
      <c r="R29"/>
      <c r="S29"/>
      <c r="T29"/>
      <c r="U29"/>
      <c r="V29"/>
      <c r="W29"/>
      <c r="X29"/>
    </row>
    <row r="30" spans="1:24" x14ac:dyDescent="0.3">
      <c r="Q30"/>
      <c r="R30"/>
      <c r="S30"/>
      <c r="T30"/>
      <c r="U30"/>
      <c r="V30"/>
      <c r="W30"/>
      <c r="X30"/>
    </row>
    <row r="31" spans="1:24" x14ac:dyDescent="0.3">
      <c r="Q31"/>
      <c r="R31"/>
      <c r="S31"/>
      <c r="T31"/>
      <c r="U31"/>
      <c r="V31"/>
      <c r="W31"/>
      <c r="X31"/>
    </row>
    <row r="32" spans="1:24" x14ac:dyDescent="0.3">
      <c r="Q32"/>
      <c r="R32"/>
      <c r="S32"/>
      <c r="T32"/>
      <c r="U32"/>
      <c r="V32"/>
      <c r="W32"/>
      <c r="X32"/>
    </row>
    <row r="33" spans="1:24" x14ac:dyDescent="0.3">
      <c r="Q33"/>
      <c r="R33"/>
      <c r="S33"/>
      <c r="T33"/>
      <c r="U33"/>
      <c r="V33"/>
      <c r="W33"/>
      <c r="X33"/>
    </row>
    <row r="34" spans="1:24" x14ac:dyDescent="0.3">
      <c r="Q34"/>
      <c r="R34"/>
      <c r="S34"/>
      <c r="T34"/>
      <c r="U34"/>
      <c r="V34"/>
      <c r="W34"/>
      <c r="X34"/>
    </row>
    <row r="35" spans="1:24" x14ac:dyDescent="0.3">
      <c r="Q35"/>
      <c r="R35"/>
      <c r="S35"/>
      <c r="T35"/>
      <c r="U35"/>
      <c r="V35"/>
      <c r="W35"/>
      <c r="X35"/>
    </row>
    <row r="36" spans="1:24" x14ac:dyDescent="0.3">
      <c r="A36" s="5" t="s">
        <v>305</v>
      </c>
      <c r="Q36"/>
      <c r="R36"/>
      <c r="S36"/>
      <c r="T36"/>
      <c r="U36"/>
      <c r="V36"/>
      <c r="W36"/>
      <c r="X36"/>
    </row>
    <row r="37" spans="1:24" x14ac:dyDescent="0.3">
      <c r="Q37"/>
      <c r="R37"/>
      <c r="S37"/>
      <c r="T37"/>
      <c r="U37"/>
      <c r="V37"/>
      <c r="W37"/>
      <c r="X37"/>
    </row>
  </sheetData>
  <mergeCells count="7">
    <mergeCell ref="E24:G27"/>
    <mergeCell ref="H3:L3"/>
    <mergeCell ref="A1:L1"/>
    <mergeCell ref="A2:L2"/>
    <mergeCell ref="B3:G3"/>
    <mergeCell ref="A26:A27"/>
    <mergeCell ref="C26:C27"/>
  </mergeCells>
  <conditionalFormatting sqref="E24:G27">
    <cfRule type="cellIs" dxfId="6" priority="1" operator="equal">
      <formula>"Sell"</formula>
    </cfRule>
    <cfRule type="cellIs" dxfId="5" priority="2" operator="equal">
      <formula>"Buy"</formula>
    </cfRule>
  </conditionalFormatting>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9217" r:id="rId4" name="ReturnButton">
          <controlPr defaultSize="0" autoFill="0" autoLine="0" r:id="rId5">
            <anchor moveWithCells="1">
              <from>
                <xdr:col>0</xdr:col>
                <xdr:colOff>60960</xdr:colOff>
                <xdr:row>30</xdr:row>
                <xdr:rowOff>38100</xdr:rowOff>
              </from>
              <to>
                <xdr:col>0</xdr:col>
                <xdr:colOff>2240280</xdr:colOff>
                <xdr:row>33</xdr:row>
                <xdr:rowOff>38100</xdr:rowOff>
              </to>
            </anchor>
          </controlPr>
        </control>
      </mc:Choice>
      <mc:Fallback>
        <control shapeId="9217" r:id="rId4" name="ReturnButton"/>
      </mc:Fallback>
    </mc:AlternateContent>
  </controls>
  <extLst>
    <ext xmlns:x14="http://schemas.microsoft.com/office/spreadsheetml/2009/9/main" uri="{78C0D931-6437-407d-A8EE-F0AAD7539E65}">
      <x14:conditionalFormattings>
        <x14:conditionalFormatting xmlns:xm="http://schemas.microsoft.com/office/excel/2006/main">
          <x14:cfRule type="cellIs" priority="3" operator="equal" id="{8CE76B7F-7B70-413B-8F8B-41DB4B5D65C5}">
            <xm:f>WACC!$E$3</xm:f>
            <x14:dxf>
              <font>
                <color rgb="FF9C5700"/>
              </font>
              <fill>
                <patternFill>
                  <bgColor rgb="FFFFEB9C"/>
                </patternFill>
              </fill>
            </x14:dxf>
          </x14:cfRule>
          <x14:cfRule type="cellIs" priority="4" operator="lessThan" id="{709D73A5-4591-4B57-AB35-338F73C7314E}">
            <xm:f>WACC!$E$3</xm:f>
            <x14:dxf>
              <font>
                <color rgb="FF9C0006"/>
              </font>
              <fill>
                <patternFill>
                  <bgColor rgb="FFFFC7CE"/>
                </patternFill>
              </fill>
            </x14:dxf>
          </x14:cfRule>
          <x14:cfRule type="cellIs" priority="5" operator="greaterThan" id="{55D8562C-941B-44FC-9991-0B6962DF6B63}">
            <xm:f>WACC!$E$3</xm:f>
            <x14:dxf>
              <font>
                <color rgb="FF006100"/>
              </font>
              <fill>
                <patternFill>
                  <bgColor rgb="FFC6EFCE"/>
                </patternFill>
              </fill>
            </x14:dxf>
          </x14:cfRule>
          <xm:sqref>C26:C27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theme="5" tint="0.79998168889431442"/>
  </sheetPr>
  <dimension ref="E1:R1"/>
  <sheetViews>
    <sheetView topLeftCell="E1" zoomScale="156" workbookViewId="0">
      <selection activeCell="U9" sqref="U9"/>
    </sheetView>
  </sheetViews>
  <sheetFormatPr defaultRowHeight="13.8" x14ac:dyDescent="0.25"/>
  <cols>
    <col min="1" max="16384" width="8.88671875" style="3"/>
  </cols>
  <sheetData>
    <row r="1" spans="5:18" ht="23.4" thickBot="1" x14ac:dyDescent="0.3">
      <c r="E1" s="544" t="s">
        <v>321</v>
      </c>
      <c r="F1" s="545"/>
      <c r="G1" s="545"/>
      <c r="H1" s="545"/>
      <c r="I1" s="545"/>
      <c r="J1" s="545"/>
      <c r="K1" s="545"/>
      <c r="L1" s="545"/>
      <c r="M1" s="545"/>
      <c r="N1" s="545"/>
      <c r="O1" s="545"/>
      <c r="P1" s="545"/>
      <c r="Q1" s="545"/>
      <c r="R1" s="546"/>
    </row>
  </sheetData>
  <mergeCells count="1">
    <mergeCell ref="E1:R1"/>
  </mergeCells>
  <pageMargins left="0.7" right="0.7" top="0.75" bottom="0.75" header="0.3" footer="0.3"/>
  <pageSetup orientation="portrait" horizontalDpi="4294967295" verticalDpi="4294967295"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35C4A8B9CAEB44D865BA6D712363AC7" ma:contentTypeVersion="5" ma:contentTypeDescription="Create a new document." ma:contentTypeScope="" ma:versionID="41be699d71e44cdf1bfd61dd6d549f92">
  <xsd:schema xmlns:xsd="http://www.w3.org/2001/XMLSchema" xmlns:xs="http://www.w3.org/2001/XMLSchema" xmlns:p="http://schemas.microsoft.com/office/2006/metadata/properties" xmlns:ns3="6a623d92-ca8e-4dea-bc7e-6282cac170dc" targetNamespace="http://schemas.microsoft.com/office/2006/metadata/properties" ma:root="true" ma:fieldsID="1f861a5b0ac8fa2ca8f0ba7d45f7f16e" ns3:_="">
    <xsd:import namespace="6a623d92-ca8e-4dea-bc7e-6282cac170d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623d92-ca8e-4dea-bc7e-6282cac170d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40E598C-A5F0-4452-9AE2-62E3ECF6DC60}">
  <ds:schemaRefs>
    <ds:schemaRef ds:uri="http://purl.org/dc/elements/1.1/"/>
    <ds:schemaRef ds:uri="6a623d92-ca8e-4dea-bc7e-6282cac170dc"/>
    <ds:schemaRef ds:uri="http://schemas.microsoft.com/office/2006/documentManagement/types"/>
    <ds:schemaRef ds:uri="http://purl.org/dc/terms/"/>
    <ds:schemaRef ds:uri="http://www.w3.org/XML/1998/namespace"/>
    <ds:schemaRef ds:uri="http://purl.org/dc/dcmitype/"/>
    <ds:schemaRef ds:uri="http://schemas.openxmlformats.org/package/2006/metadata/core-properties"/>
    <ds:schemaRef ds:uri="http://schemas.microsoft.com/office/infopath/2007/PartnerControls"/>
    <ds:schemaRef ds:uri="http://schemas.microsoft.com/office/2006/metadata/properties"/>
  </ds:schemaRefs>
</ds:datastoreItem>
</file>

<file path=customXml/itemProps2.xml><?xml version="1.0" encoding="utf-8"?>
<ds:datastoreItem xmlns:ds="http://schemas.openxmlformats.org/officeDocument/2006/customXml" ds:itemID="{CC9C1465-23EF-4845-B050-7C169EAC876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a623d92-ca8e-4dea-bc7e-6282cac170d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3BB97B1-C60F-443E-9448-6F6B7D715BF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Assignment Information</vt:lpstr>
      <vt:lpstr>Historical Income Statements</vt:lpstr>
      <vt:lpstr>Historical Balance Sheets</vt:lpstr>
      <vt:lpstr>Industry Ratios</vt:lpstr>
      <vt:lpstr>Ratio Analysis</vt:lpstr>
      <vt:lpstr>Sales Projections</vt:lpstr>
      <vt:lpstr>Pro Forma Income Statement</vt:lpstr>
      <vt:lpstr>Pro Forma Balance Sheet</vt:lpstr>
      <vt:lpstr>Cash Budget</vt:lpstr>
      <vt:lpstr>Sales &amp; Purchases Schedule</vt:lpstr>
      <vt:lpstr>Market and Stock Data</vt:lpstr>
      <vt:lpstr>WACC</vt:lpstr>
      <vt:lpstr>Variable Growth Rate Model</vt:lpstr>
      <vt:lpstr>Free Cashflow Valuation</vt:lpstr>
      <vt:lpstr>Judgement </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Ahmad Ali</dc:creator>
  <cp:keywords/>
  <dc:description/>
  <cp:lastModifiedBy>Ahmad Ali</cp:lastModifiedBy>
  <cp:revision/>
  <dcterms:created xsi:type="dcterms:W3CDTF">2021-03-02T08:34:03Z</dcterms:created>
  <dcterms:modified xsi:type="dcterms:W3CDTF">2021-04-11T16:32:10Z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0x010100A35C4A8B9CAEB44D865BA6D712363AC7</vt:lpwstr>
  </property>
</Properties>
</file>